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rketLink\testing\"/>
    </mc:Choice>
  </mc:AlternateContent>
  <xr:revisionPtr revIDLastSave="0" documentId="13_ncr:1_{08D90BA6-9F66-4D80-98F1-ED677494EF7F}" xr6:coauthVersionLast="47" xr6:coauthVersionMax="47" xr10:uidLastSave="{00000000-0000-0000-0000-000000000000}"/>
  <bookViews>
    <workbookView xWindow="-108" yWindow="-108" windowWidth="23256" windowHeight="12720" activeTab="1" xr2:uid="{54D1977E-F5DE-4CAF-8E84-7277F9A30D88}"/>
  </bookViews>
  <sheets>
    <sheet name="Authentication" sheetId="1" r:id="rId1"/>
    <sheet name="Admin" sheetId="6" r:id="rId2"/>
    <sheet name="Customer" sheetId="4" r:id="rId3"/>
    <sheet name="Farm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2" i="6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2" i="5"/>
  <c r="A3" i="4"/>
  <c r="A2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<sst xmlns="http://schemas.openxmlformats.org/spreadsheetml/2006/main" count="1565" uniqueCount="712">
  <si>
    <t>TEST_ID</t>
  </si>
  <si>
    <t>MODULE</t>
  </si>
  <si>
    <t>REQUIREMENT</t>
  </si>
  <si>
    <t>TEST CASE</t>
  </si>
  <si>
    <t>TEST STEP</t>
  </si>
  <si>
    <t>RESULT</t>
  </si>
  <si>
    <t>STATUS</t>
  </si>
  <si>
    <t>PRIORITY</t>
  </si>
  <si>
    <t>TESTED BY</t>
  </si>
  <si>
    <t>AUTHENTICATION</t>
  </si>
  <si>
    <t>None</t>
  </si>
  <si>
    <t>Open Registration</t>
  </si>
  <si>
    <t>PASS</t>
  </si>
  <si>
    <t>MEDIUM</t>
  </si>
  <si>
    <t>Malak</t>
  </si>
  <si>
    <t>HIGH</t>
  </si>
  <si>
    <t>Registration page loads successfully</t>
  </si>
  <si>
    <t>Register Customer</t>
  </si>
  <si>
    <t>Enter valid customer information and submit</t>
  </si>
  <si>
    <t>Customer account is created successfully</t>
  </si>
  <si>
    <t>Register Farmer</t>
  </si>
  <si>
    <t>Enter valid farmer information and submit</t>
  </si>
  <si>
    <t>Farmer account is created successfully</t>
  </si>
  <si>
    <t>Register With Empty Fields</t>
  </si>
  <si>
    <t>Leave required fields empty and submit</t>
  </si>
  <si>
    <t>Registration is rejected and validation messages are shown</t>
  </si>
  <si>
    <t>Register With Existing Email</t>
  </si>
  <si>
    <t>Register using an email already in the database</t>
  </si>
  <si>
    <t>Registration is rejected with an appropriate error</t>
  </si>
  <si>
    <t>Invalid Email</t>
  </si>
  <si>
    <t>Enter an invalid email format and submit</t>
  </si>
  <si>
    <t>Validation error is displayed</t>
  </si>
  <si>
    <t>Password Mismatch</t>
  </si>
  <si>
    <t>Enter different passwords in the password fields</t>
  </si>
  <si>
    <t>Registration is rejected with an error</t>
  </si>
  <si>
    <t>Invalid Registration Data</t>
  </si>
  <si>
    <t>Enter invalid or inappropriate values in registration fields</t>
  </si>
  <si>
    <t>Invalid data is rejected</t>
  </si>
  <si>
    <t>Open Login</t>
  </si>
  <si>
    <t>Login page loads successfully</t>
  </si>
  <si>
    <t>Customer Login</t>
  </si>
  <si>
    <t>Enter valid customer credentials and submit</t>
  </si>
  <si>
    <t>Customer is logged in successfully</t>
  </si>
  <si>
    <t>CRITICAL</t>
  </si>
  <si>
    <t>Farmer Login</t>
  </si>
  <si>
    <t>Enter valid farmer credentials and submit</t>
  </si>
  <si>
    <t>Farmer is logged in successfully</t>
  </si>
  <si>
    <t>Admin Login</t>
  </si>
  <si>
    <t>Enter valid admin credentials and submit</t>
  </si>
  <si>
    <t>Admin is logged in successfully</t>
  </si>
  <si>
    <t>Incorrect Password</t>
  </si>
  <si>
    <t>Enter valid username/email with incorrect password</t>
  </si>
  <si>
    <t>Login is rejected and error message is shown</t>
  </si>
  <si>
    <t>Nonexistent Account</t>
  </si>
  <si>
    <t>Enter credentials for an account that does not exist</t>
  </si>
  <si>
    <t>Login is rejected</t>
  </si>
  <si>
    <t>Empty Login Fields</t>
  </si>
  <si>
    <t>Submit login form with empty fields</t>
  </si>
  <si>
    <t>Login is rejected and validation is shown</t>
  </si>
  <si>
    <t>Logout</t>
  </si>
  <si>
    <t>Log in and click Logout</t>
  </si>
  <si>
    <t>User is logged out successfully</t>
  </si>
  <si>
    <t>Access Customer Page While Logged Out</t>
  </si>
  <si>
    <t>Log out and visit a protected customer page</t>
  </si>
  <si>
    <t>User is redirected or denied access</t>
  </si>
  <si>
    <t>Customer Accesses Farmer Page</t>
  </si>
  <si>
    <t>Log in as customer and visit a farmer-only page</t>
  </si>
  <si>
    <t>Access is denied</t>
  </si>
  <si>
    <t>Customer Accesses Admin Page</t>
  </si>
  <si>
    <t>Log in as customer and visit an admin page</t>
  </si>
  <si>
    <t>Farmer Accesses Admin Page</t>
  </si>
  <si>
    <t>Log in as farmer and visit an admin page</t>
  </si>
  <si>
    <t>Farmer Accesses Customer Page</t>
  </si>
  <si>
    <t>Log in as farmer and visit a customer-only page</t>
  </si>
  <si>
    <t>Bypass Role Restriction</t>
  </si>
  <si>
    <t>Manually change the URL to another role's protected page</t>
  </si>
  <si>
    <t>Unauthorized access is denied</t>
  </si>
  <si>
    <t>Refresh While Logged In</t>
  </si>
  <si>
    <t>Log in and refresh the page</t>
  </si>
  <si>
    <t>User remains logged in</t>
  </si>
  <si>
    <t>Access Page After Logout</t>
  </si>
  <si>
    <t>Log out and use browser navigation to return to a protected page</t>
  </si>
  <si>
    <t>Protected page cannot be accessed</t>
  </si>
  <si>
    <t>Malicious Login Input</t>
  </si>
  <si>
    <t>Enter SQL/script-like input into login fields</t>
  </si>
  <si>
    <t>Input is safely handled and login is rejected</t>
  </si>
  <si>
    <t>Script Input</t>
  </si>
  <si>
    <t>Enter HTML/JavaScript into authentication fields</t>
  </si>
  <si>
    <t>Input is not executed</t>
  </si>
  <si>
    <t>Password Masking</t>
  </si>
  <si>
    <t>Enter a password into the password field</t>
  </si>
  <si>
    <t>Password is hidden/masked</t>
  </si>
  <si>
    <t>Correct Role Redirect</t>
  </si>
  <si>
    <t>Log in using each available role</t>
  </si>
  <si>
    <t>User is redirected to the appropriate area</t>
  </si>
  <si>
    <t>Inactive Account Login</t>
  </si>
  <si>
    <t>Attempt to log in using an inactive account</t>
  </si>
  <si>
    <t>Already Logged-In User Opens Login</t>
  </si>
  <si>
    <t>Log in and then visit the login page</t>
  </si>
  <si>
    <t>Appropriate redirect or behavior occurs</t>
  </si>
  <si>
    <t>LOW</t>
  </si>
  <si>
    <t>Duplicate Registration</t>
  </si>
  <si>
    <t>Submit the same registration information twice</t>
  </si>
  <si>
    <t>Duplicate account is prevented</t>
  </si>
  <si>
    <t>Long Input</t>
  </si>
  <si>
    <t>Enter unusually long values into authentication fields</t>
  </si>
  <si>
    <t>Application handles input safely without errors</t>
  </si>
  <si>
    <t>Special Characters</t>
  </si>
  <si>
    <t>Enter valid special characters in supported fields</t>
  </si>
  <si>
    <t>Valid input is accepted and handled correctly</t>
  </si>
  <si>
    <t>Visit /auth/register.php</t>
  </si>
  <si>
    <t>Visit /auth/login.php</t>
  </si>
  <si>
    <t>CUSTOMER</t>
  </si>
  <si>
    <t>Open Customer Dashboard</t>
  </si>
  <si>
    <t>Log in as customer and open /customer/dashboard.php</t>
  </si>
  <si>
    <t>Customer dashboard loads successfully</t>
  </si>
  <si>
    <t>Dashboard Information</t>
  </si>
  <si>
    <t>Review dashboard cards and displayed information</t>
  </si>
  <si>
    <t>Relevant customer information is displayed correctly</t>
  </si>
  <si>
    <t>Open Customer Profile</t>
  </si>
  <si>
    <t>Open customer profile page</t>
  </si>
  <si>
    <t>Profile page loads successfully</t>
  </si>
  <si>
    <t>Edit Customer Profile</t>
  </si>
  <si>
    <t>Change valid profile information and save</t>
  </si>
  <si>
    <t>Profile information is updated successfully</t>
  </si>
  <si>
    <t>Invalid Profile Information</t>
  </si>
  <si>
    <t>Enter invalid information and save</t>
  </si>
  <si>
    <t>Invalid information is rejected with an error</t>
  </si>
  <si>
    <t>View Markets</t>
  </si>
  <si>
    <t>Open customer markets page</t>
  </si>
  <si>
    <t>Available markets are displayed</t>
  </si>
  <si>
    <t>View Market Details</t>
  </si>
  <si>
    <t>Select a market</t>
  </si>
  <si>
    <t>Correct market details are displayed</t>
  </si>
  <si>
    <t>View Market Farmers</t>
  </si>
  <si>
    <t>Open a market's farmer information</t>
  </si>
  <si>
    <t>Farmers associated with the market are displayed</t>
  </si>
  <si>
    <t>View Farmers</t>
  </si>
  <si>
    <t>Open customer farmers page</t>
  </si>
  <si>
    <t>Available farmers are displayed</t>
  </si>
  <si>
    <t>View Farmer Details</t>
  </si>
  <si>
    <t>Select a farmer</t>
  </si>
  <si>
    <t>Correct farmer details and information are displayed</t>
  </si>
  <si>
    <t>View Farmer Products</t>
  </si>
  <si>
    <t>Open a farmer's products</t>
  </si>
  <si>
    <t>Products belonging to the farmer are displayed</t>
  </si>
  <si>
    <t>View Products</t>
  </si>
  <si>
    <t>Open customer products page</t>
  </si>
  <si>
    <t>Available products are displayed</t>
  </si>
  <si>
    <t>View Product Details</t>
  </si>
  <si>
    <t>Select a product</t>
  </si>
  <si>
    <t>Correct product details are displayed</t>
  </si>
  <si>
    <t>Product Availability</t>
  </si>
  <si>
    <t>Open an available product</t>
  </si>
  <si>
    <t>Correct stock/availability information is displayed</t>
  </si>
  <si>
    <t>Search Products</t>
  </si>
  <si>
    <t>Enter an existing product name in search</t>
  </si>
  <si>
    <t>Matching products are displayed</t>
  </si>
  <si>
    <t>Search With No Results</t>
  </si>
  <si>
    <t>Search for a nonexistent product</t>
  </si>
  <si>
    <t>Appropriate no-results message is displayed</t>
  </si>
  <si>
    <t>Product Category Filter</t>
  </si>
  <si>
    <t>Select a product category</t>
  </si>
  <si>
    <t>Products from the selected category are displayed</t>
  </si>
  <si>
    <t>Product Sorting</t>
  </si>
  <si>
    <t>Apply available product sorting option</t>
  </si>
  <si>
    <t>Products are sorted according to the selected option</t>
  </si>
  <si>
    <t>Market Search/Filter</t>
  </si>
  <si>
    <t>Use available market search or filter</t>
  </si>
  <si>
    <t>Matching markets are displayed</t>
  </si>
  <si>
    <t>Farmer Search/Filter</t>
  </si>
  <si>
    <t>Use available farmer search or filter</t>
  </si>
  <si>
    <t>Matching farmers are displayed</t>
  </si>
  <si>
    <t>Add Market to Favorites</t>
  </si>
  <si>
    <t>Open a market and select favorite</t>
  </si>
  <si>
    <t>Market is added to customer favorites</t>
  </si>
  <si>
    <t>Remove Market Favorite</t>
  </si>
  <si>
    <t>Remove a market from favorites</t>
  </si>
  <si>
    <t>Market is removed from favorites</t>
  </si>
  <si>
    <t>Add Farmer to Favorites</t>
  </si>
  <si>
    <t>Open a farmer and select favorite</t>
  </si>
  <si>
    <t>Farmer is added to customer favorites</t>
  </si>
  <si>
    <t>Remove Farmer Favorite</t>
  </si>
  <si>
    <t>Remove a farmer from favorites</t>
  </si>
  <si>
    <t>Farmer is removed from favorites</t>
  </si>
  <si>
    <t>Add Product to Favorites</t>
  </si>
  <si>
    <t>Open a product and select favorite</t>
  </si>
  <si>
    <t>Product is added to customer favorites</t>
  </si>
  <si>
    <t>Remove Product Favorite</t>
  </si>
  <si>
    <t>Remove a product from favorites</t>
  </si>
  <si>
    <t>Product is removed from favorites</t>
  </si>
  <si>
    <t>View Favorites</t>
  </si>
  <si>
    <t>Open favorites page</t>
  </si>
  <si>
    <t>Customer's saved markets, farmers, and/or products are displayed</t>
  </si>
  <si>
    <t>Empty Favorites</t>
  </si>
  <si>
    <t>Remove all favorite items</t>
  </si>
  <si>
    <t>Appropriate empty-state message is displayed</t>
  </si>
  <si>
    <t>Add Product to Cart</t>
  </si>
  <si>
    <t>Select a product and add it to cart</t>
  </si>
  <si>
    <t>Product is added to cart successfully</t>
  </si>
  <si>
    <t>Add Multiple Products</t>
  </si>
  <si>
    <t>Add multiple different products to cart</t>
  </si>
  <si>
    <t>All selected products appear in cart</t>
  </si>
  <si>
    <t>View Cart</t>
  </si>
  <si>
    <t>Open cart page</t>
  </si>
  <si>
    <t>Selected products and quantities are displayed</t>
  </si>
  <si>
    <t>Increase Cart Quantity</t>
  </si>
  <si>
    <t>Increase quantity of a cart item</t>
  </si>
  <si>
    <t>Quantity and total are updated correctly</t>
  </si>
  <si>
    <t>Decrease Cart Quantity</t>
  </si>
  <si>
    <t>Decrease quantity of a cart item</t>
  </si>
  <si>
    <t>Remove Cart Item</t>
  </si>
  <si>
    <t>Remove an item from cart</t>
  </si>
  <si>
    <t>Item is removed and cart total is updated</t>
  </si>
  <si>
    <t>Empty Cart</t>
  </si>
  <si>
    <t>Remove all items from cart</t>
  </si>
  <si>
    <t>Empty cart message is displayed</t>
  </si>
  <si>
    <t>Invalid Cart Quantity</t>
  </si>
  <si>
    <t>Enter zero or invalid quantity</t>
  </si>
  <si>
    <t>Invalid quantity is rejected</t>
  </si>
  <si>
    <t>Exceed Available Stock</t>
  </si>
  <si>
    <t>Attempt to add/order more units than available</t>
  </si>
  <si>
    <t>Request is rejected or limited to available stock</t>
  </si>
  <si>
    <t>Checkout With Valid Cart</t>
  </si>
  <si>
    <t>Add valid products and proceed to checkout</t>
  </si>
  <si>
    <t>Checkout page loads successfully</t>
  </si>
  <si>
    <t>Submit Valid Order</t>
  </si>
  <si>
    <t>Complete checkout with valid information</t>
  </si>
  <si>
    <t>Order is created successfully</t>
  </si>
  <si>
    <t>Order Total Calculation</t>
  </si>
  <si>
    <t>Add multiple products and review total</t>
  </si>
  <si>
    <t>Order total is calculated correctly</t>
  </si>
  <si>
    <t>Checkout With Empty Cart</t>
  </si>
  <si>
    <t>Attempt to checkout with no items</t>
  </si>
  <si>
    <t>Checkout is prevented</t>
  </si>
  <si>
    <t>Order Confirmation</t>
  </si>
  <si>
    <t>Complete a valid order</t>
  </si>
  <si>
    <t>Order confirmation/information is displayed</t>
  </si>
  <si>
    <t>View Orders</t>
  </si>
  <si>
    <t>Open customer orders page</t>
  </si>
  <si>
    <t>Customer's orders are displayed</t>
  </si>
  <si>
    <t>View Order Details</t>
  </si>
  <si>
    <t>Open an existing order</t>
  </si>
  <si>
    <t>Correct order items, quantities, totals, and status are displayed</t>
  </si>
  <si>
    <t>Order Status</t>
  </si>
  <si>
    <t>View an order with a known status</t>
  </si>
  <si>
    <t>Correct order status is displayed</t>
  </si>
  <si>
    <t>Cancel Eligible Order</t>
  </si>
  <si>
    <t>Cancel an order that can be cancelled</t>
  </si>
  <si>
    <t>Order is cancelled successfully</t>
  </si>
  <si>
    <t>Prevent Invalid Cancellation</t>
  </si>
  <si>
    <t>Attempt to cancel an order that cannot be cancelled</t>
  </si>
  <si>
    <t>Cancellation is prevented</t>
  </si>
  <si>
    <t>Review Eligible Product</t>
  </si>
  <si>
    <t>Open an eligible completed order/product</t>
  </si>
  <si>
    <t>Review option is available</t>
  </si>
  <si>
    <t>Submit Product Review</t>
  </si>
  <si>
    <t>Submit a valid rating and review</t>
  </si>
  <si>
    <t>Review is submitted successfully</t>
  </si>
  <si>
    <t>View Product Reviews</t>
  </si>
  <si>
    <t>Open a product with reviews</t>
  </si>
  <si>
    <t>Existing reviews are displayed correctly</t>
  </si>
  <si>
    <t>View Notifications</t>
  </si>
  <si>
    <t>Open customer notifications</t>
  </si>
  <si>
    <t>Customer notifications are displayed</t>
  </si>
  <si>
    <t>Open Notification</t>
  </si>
  <si>
    <t>Select a notification</t>
  </si>
  <si>
    <t>Notification details/content are displayed</t>
  </si>
  <si>
    <t>Mark Notification Read</t>
  </si>
  <si>
    <t>Mark an unread notification as read</t>
  </si>
  <si>
    <t>Notification status changes to read</t>
  </si>
  <si>
    <t>Notification Count</t>
  </si>
  <si>
    <t>Check notification indicator with unread notifications</t>
  </si>
  <si>
    <t>Correct unread count is displayed</t>
  </si>
  <si>
    <t>Customer Navigation</t>
  </si>
  <si>
    <t>Navigate between customer pages using navigation menu</t>
  </si>
  <si>
    <t>Links lead to the correct pages</t>
  </si>
  <si>
    <t>Customer Mobile Layout</t>
  </si>
  <si>
    <t>Open customer pages at mobile-sized viewport</t>
  </si>
  <si>
    <t>Layout remains usable and responsive</t>
  </si>
  <si>
    <t>Access Another Customer's Order</t>
  </si>
  <si>
    <t>Attempt to open another customer's order using its ID</t>
  </si>
  <si>
    <t>Customer Session Protection</t>
  </si>
  <si>
    <t>Log out and attempt to access customer pages</t>
  </si>
  <si>
    <t>Access is denied or redirected to login</t>
  </si>
  <si>
    <t>Cart Persistence</t>
  </si>
  <si>
    <t>Add item to cart, navigate away, and return to cart</t>
  </si>
  <si>
    <t>Cart contents remain correctly available</t>
  </si>
  <si>
    <t>Product With Zero Stock</t>
  </si>
  <si>
    <t>Open a product with no available stock</t>
  </si>
  <si>
    <t>Product is shown as unavailable/out of stock</t>
  </si>
  <si>
    <t>Cannot Order Out-of-Stock Product</t>
  </si>
  <si>
    <t>Attempt to order a product with no stock</t>
  </si>
  <si>
    <t>Order is prevented</t>
  </si>
  <si>
    <t>Weekly Stock Visibility</t>
  </si>
  <si>
    <t>View a product with weekly stock information</t>
  </si>
  <si>
    <t>Relevant weekly stock information is displayed correctly</t>
  </si>
  <si>
    <t>Weekly Stock Availability</t>
  </si>
  <si>
    <t>View products based on current weekly availability</t>
  </si>
  <si>
    <t>Correct current availability is displayed</t>
  </si>
  <si>
    <t>Search Special Characters</t>
  </si>
  <si>
    <t>Search using special characters</t>
  </si>
  <si>
    <t>Search handles input safely without errors</t>
  </si>
  <si>
    <t>Unauthorized Favorite Modification</t>
  </si>
  <si>
    <t>Attempt to modify favorites while logged out</t>
  </si>
  <si>
    <t>Action is prevented</t>
  </si>
  <si>
    <t>Unauthorized Order Creation</t>
  </si>
  <si>
    <t>Attempt to create an order without customer authentication</t>
  </si>
  <si>
    <t>Order creation is prevented</t>
  </si>
  <si>
    <t>Farmer can log in with valid credentials</t>
  </si>
  <si>
    <t>Enter valid farmer email and password, then click Login</t>
  </si>
  <si>
    <t>Farmer is logged in and redirected to farmer dashboard</t>
  </si>
  <si>
    <t>Farmer logged in successfully and accessed the dashboard</t>
  </si>
  <si>
    <t>Pass</t>
  </si>
  <si>
    <t>Roaa</t>
  </si>
  <si>
    <t>Invalid password is rejected</t>
  </si>
  <si>
    <t>Enter valid email with incorrect password</t>
  </si>
  <si>
    <t>Login is rejected and an error message is displayed</t>
  </si>
  <si>
    <t>Invalid login was rejected</t>
  </si>
  <si>
    <t>Farmer Access</t>
  </si>
  <si>
    <t>Unauthenticated user cannot access farmer dashboard</t>
  </si>
  <si>
    <t>Open farmer dashboard without logging in</t>
  </si>
  <si>
    <t>User is blocked and redirected to login/home page</t>
  </si>
  <si>
    <t>User was redirected and could not access dashboard</t>
  </si>
  <si>
    <t>Customer cannot access farmer dashboard</t>
  </si>
  <si>
    <t>Log in as customer and open farmer dashboard</t>
  </si>
  <si>
    <t>Customer is denied access</t>
  </si>
  <si>
    <t>Customer was redirected and denied access</t>
  </si>
  <si>
    <t>Unapproved farmer cannot access protected farmer pages</t>
  </si>
  <si>
    <t>Log in as unapproved farmer and open protected page</t>
  </si>
  <si>
    <t>Access is blocked and farmer is redirected to appropriate status page</t>
  </si>
  <si>
    <t>Unapproved farmer was redirected and denied access</t>
  </si>
  <si>
    <t>Dashboard</t>
  </si>
  <si>
    <t>Farmer name and stall name are displayed correctly</t>
  </si>
  <si>
    <t>Open farmer dashboard</t>
  </si>
  <si>
    <t>Correct farmer and stall names are displayed</t>
  </si>
  <si>
    <t>Farmer and stall names displayed correctly</t>
  </si>
  <si>
    <t>Recent orders are displayed correctly</t>
  </si>
  <si>
    <t>Open dashboard with existing orders</t>
  </si>
  <si>
    <t>Recent orders are displayed with correct information</t>
  </si>
  <si>
    <t>No orders were available to test positive display</t>
  </si>
  <si>
    <t>Not Tested</t>
  </si>
  <si>
    <t>Farmer products are displayed correctly</t>
  </si>
  <si>
    <t>Open dashboard with existing products</t>
  </si>
  <si>
    <t>No products were available at the time of testing</t>
  </si>
  <si>
    <t>Stall summary information is displayed correctly</t>
  </si>
  <si>
    <t>Stall summary and related information are displayed</t>
  </si>
  <si>
    <t>Stall summary displayed correctly</t>
  </si>
  <si>
    <t>Farmer approval status is displayed correctly</t>
  </si>
  <si>
    <t>Current approval status is displayed</t>
  </si>
  <si>
    <t>Approval status displayed correctly</t>
  </si>
  <si>
    <t>Profile</t>
  </si>
  <si>
    <t>Farmer profile information is displayed correctly</t>
  </si>
  <si>
    <t>Open farmer profile page</t>
  </si>
  <si>
    <t>Profile information displayed correctly</t>
  </si>
  <si>
    <t>Farmer can edit own profile information</t>
  </si>
  <si>
    <t>Open edit profile, modify allowed fields, and save</t>
  </si>
  <si>
    <t>Profile was edited successfully</t>
  </si>
  <si>
    <t>Profile changes persist after refresh/re-login</t>
  </si>
  <si>
    <t>Edit profile, save, refresh page and log in again if needed</t>
  </si>
  <si>
    <t>Updated information remains saved</t>
  </si>
  <si>
    <t>Changes remained after refresh/re-login</t>
  </si>
  <si>
    <t>Farmer cannot edit another farmer's profile</t>
  </si>
  <si>
    <t>Attempt to access or modify another farmer's profile</t>
  </si>
  <si>
    <t>Another farmer's profile cannot be modified</t>
  </si>
  <si>
    <t>Test was not performed</t>
  </si>
  <si>
    <t>Stall</t>
  </si>
  <si>
    <t>Farmer stall page opens correctly</t>
  </si>
  <si>
    <t>Open farmer stall page</t>
  </si>
  <si>
    <t>Stall page loads without errors</t>
  </si>
  <si>
    <t>Stall page opened successfully</t>
  </si>
  <si>
    <t>Stall displays farmer's products or correct empty state</t>
  </si>
  <si>
    <t>Open stall page</t>
  </si>
  <si>
    <t>Products are displayed, or appropriate empty state is shown</t>
  </si>
  <si>
    <t>Empty state displayed correctly when no products were available</t>
  </si>
  <si>
    <t>Products</t>
  </si>
  <si>
    <t>Products page displays farmer's products or correct empty state</t>
  </si>
  <si>
    <t>Open products page</t>
  </si>
  <si>
    <t>Products page opened and empty state displayed correctly</t>
  </si>
  <si>
    <t>Farmer can add a product with valid data</t>
  </si>
  <si>
    <t>Enter valid product information and submit</t>
  </si>
  <si>
    <t>Product is created successfully</t>
  </si>
  <si>
    <t>Product was added successfully</t>
  </si>
  <si>
    <t>Product name is required</t>
  </si>
  <si>
    <t>Leave product name empty and submit</t>
  </si>
  <si>
    <t>Product is not created and validation is shown</t>
  </si>
  <si>
    <t>Empty product name was rejected</t>
  </si>
  <si>
    <t>Invalid or negative product price is rejected</t>
  </si>
  <si>
    <t>Enter invalid/negative price and submit</t>
  </si>
  <si>
    <t>Invalid price is rejected</t>
  </si>
  <si>
    <t>Invalid/negative price was rejected</t>
  </si>
  <si>
    <t>Invalid or negative stock quantity is rejected</t>
  </si>
  <si>
    <t>Enter invalid/negative stock quantity and submit</t>
  </si>
  <si>
    <t>Invalid stock quantity is rejected</t>
  </si>
  <si>
    <t>Invalid/negative stock quantity was rejected</t>
  </si>
  <si>
    <t>Farmer can edit own product</t>
  </si>
  <si>
    <t>Open own product, modify information, and save</t>
  </si>
  <si>
    <t>Product is updated successfully</t>
  </si>
  <si>
    <t>Own product was edited successfully</t>
  </si>
  <si>
    <t>Farmer cannot edit another farmer's product</t>
  </si>
  <si>
    <t>Attempt to access/edit another farmer's product</t>
  </si>
  <si>
    <t>Another farmer's product cannot be modified</t>
  </si>
  <si>
    <t>Product changes persist after editing</t>
  </si>
  <si>
    <t>Edit a product, save changes, then refresh/reopen it</t>
  </si>
  <si>
    <t>Updated product information remains saved</t>
  </si>
  <si>
    <t>Valid product image is uploaded and displayed correctly</t>
  </si>
  <si>
    <t>Edit/add product and upload valid JPG/PNG/WEBP image</t>
  </si>
  <si>
    <t>Image is accepted, saved, and displayed correctly</t>
  </si>
  <si>
    <t>Test pending</t>
  </si>
  <si>
    <t>Invalid product image upload is rejected</t>
  </si>
  <si>
    <t>Upload unsupported/invalid file type</t>
  </si>
  <si>
    <t>Invalid image is rejected and not saved</t>
  </si>
  <si>
    <t>Inventory</t>
  </si>
  <si>
    <t>Farmer can view inventory and stock information</t>
  </si>
  <si>
    <t>Open inventory page</t>
  </si>
  <si>
    <t>Inventory and stock information are displayed correctly</t>
  </si>
  <si>
    <t>Reviews</t>
  </si>
  <si>
    <t>Farmer reviews page opens and displays reviews/empty state correctly</t>
  </si>
  <si>
    <t>Open reviews page</t>
  </si>
  <si>
    <t>Reviews are displayed or correct empty state is shown</t>
  </si>
  <si>
    <t>Analytics</t>
  </si>
  <si>
    <t>Farmer analytics page opens and displays statistics correctly</t>
  </si>
  <si>
    <t>Open analytics page</t>
  </si>
  <si>
    <t>Analytics page loads and displays farmer statistics</t>
  </si>
  <si>
    <t>Markets</t>
  </si>
  <si>
    <t>Farmer markets page opens and displays market information correctly</t>
  </si>
  <si>
    <t>Open markets page</t>
  </si>
  <si>
    <t>Markets page loads and displays market information</t>
  </si>
  <si>
    <t>Admin account is available</t>
  </si>
  <si>
    <t>Open admin dashboard</t>
  </si>
  <si>
    <t>Log in as admin → open Dashboard</t>
  </si>
  <si>
    <t>Admin dashboard opened successfully</t>
  </si>
  <si>
    <t>High</t>
  </si>
  <si>
    <t>Leen Al-Shargabi</t>
  </si>
  <si>
    <t>Dashboard statistics are available</t>
  </si>
  <si>
    <t>Verify system statistics</t>
  </si>
  <si>
    <t>Check Customers, Farmers, Products and Orders totals</t>
  </si>
  <si>
    <t>Customers, farmers, products, and orders statistics are displayed correctly</t>
  </si>
  <si>
    <t>Pending records exist</t>
  </si>
  <si>
    <t>Verify pending items</t>
  </si>
  <si>
    <t>Check pending farmers and pending products sections</t>
  </si>
  <si>
    <t>Pending farmer and product counts are displayed as 0</t>
  </si>
  <si>
    <t>Orders exist</t>
  </si>
  <si>
    <t>Verify recent orders</t>
  </si>
  <si>
    <t>Check Recent Orders section and order information</t>
  </si>
  <si>
    <t>Recent orders are displayed with order ID, customer, farmer, date, total, and status</t>
  </si>
  <si>
    <t>Medium</t>
  </si>
  <si>
    <t>Users</t>
  </si>
  <si>
    <t>Admin is logged in</t>
  </si>
  <si>
    <t>Open user management</t>
  </si>
  <si>
    <t>Open Admin → Users</t>
  </si>
  <si>
    <t>Users management opened successfully and displays registered accounts with role, status, and actions</t>
  </si>
  <si>
    <t>User accounts exist</t>
  </si>
  <si>
    <t>Search and filter users</t>
  </si>
  <si>
    <t>Search for an existing user → test a role/status filter</t>
  </si>
  <si>
    <t>Searching for Daniel Brooks displayed the matching user correctly</t>
  </si>
  <si>
    <t>Active user exists</t>
  </si>
  <si>
    <t>Deactivate a user</t>
  </si>
  <si>
    <t>Select an active customer/farmer → Deactivate → confirm</t>
  </si>
  <si>
    <t>Daniel Brooks was deactivated successfully and his status changed to Inactive</t>
  </si>
  <si>
    <t>Inactive user exists</t>
  </si>
  <si>
    <t>Activate a user</t>
  </si>
  <si>
    <t>Select an inactive user → Activate → confirm</t>
  </si>
  <si>
    <t>Daniel Brooks was activated successfully and his status changed to Active</t>
  </si>
  <si>
    <t>Admin account is logged in</t>
  </si>
  <si>
    <t>Protect admin account</t>
  </si>
  <si>
    <t>Attempt to deactivate currently logged-in admin</t>
  </si>
  <si>
    <t>The logged-in admin account has no Deactivate action available</t>
  </si>
  <si>
    <t>More than 10 users exist</t>
  </si>
  <si>
    <t>Verify pagination</t>
  </si>
  <si>
    <t>Open Users → move to next page</t>
  </si>
  <si>
    <t>Clicking page 2 displayed the next set of users successfully</t>
  </si>
  <si>
    <t>Farmers</t>
  </si>
  <si>
    <t>Farmer records exist</t>
  </si>
  <si>
    <t>Open farmer management</t>
  </si>
  <si>
    <t>Open Admin → Farmers</t>
  </si>
  <si>
    <t>Farmer management opened successfully and displays 7 farmer records with their status and details</t>
  </si>
  <si>
    <t>Pending farmer exists</t>
  </si>
  <si>
    <t>Approve farmer</t>
  </si>
  <si>
    <t>Select pending farmer → Approve → confirm</t>
  </si>
  <si>
    <t>Test Farmer was approved successfully and the status changed to Approved</t>
  </si>
  <si>
    <t>Reject farmer</t>
  </si>
  <si>
    <t>Select pending farmer → Reject → confirm</t>
  </si>
  <si>
    <t>Reject Test Farm was rejected successfully and its status changed to Rejected</t>
  </si>
  <si>
    <t>Farmer status changes are supported</t>
  </si>
  <si>
    <t>Verify farmer status</t>
  </si>
  <si>
    <t>Reload Farmers → verify approved/rejected status</t>
  </si>
  <si>
    <t>Approved and rejected farmer statuses are displayed correctly</t>
  </si>
  <si>
    <t>Farmer notifications are supported</t>
  </si>
  <si>
    <t>Verify moderation notification</t>
  </si>
  <si>
    <t>Approve/reject a farmer → check notifications</t>
  </si>
  <si>
    <t>Approval notification was created successfully, but no rejection notification was found for Reject Test Farm</t>
  </si>
  <si>
    <t>FAIL</t>
  </si>
  <si>
    <t>Farmer Details</t>
  </si>
  <si>
    <t>Farmer exists</t>
  </si>
  <si>
    <t>View farmer details</t>
  </si>
  <si>
    <t>Click View for a farmer</t>
  </si>
  <si>
    <t>Farmer details opened successfully and displayed the farmer profile, status, contact information, and inventory</t>
  </si>
  <si>
    <t>Farmer has products</t>
  </si>
  <si>
    <t>Verify farmer information and products</t>
  </si>
  <si>
    <t>Check profile information and listed products</t>
  </si>
  <si>
    <t>Farmer details displayed successfully, including the farmer profile and listed products</t>
  </si>
  <si>
    <t>Customers</t>
  </si>
  <si>
    <t>Customer accounts exist</t>
  </si>
  <si>
    <t>Open customer management</t>
  </si>
  <si>
    <t>Open Admin → Customers</t>
  </si>
  <si>
    <t>Customer management opened successfully and displays 31 customer accounts with contact, status, and registration information</t>
  </si>
  <si>
    <t>Customer exists</t>
  </si>
  <si>
    <t>View customer details</t>
  </si>
  <si>
    <t>Click View beside a customer</t>
  </si>
  <si>
    <t>Customer details opened successfully and displayed the customer profile and account information</t>
  </si>
  <si>
    <t>Customer has orders</t>
  </si>
  <si>
    <t>Verify customer order history</t>
  </si>
  <si>
    <t>Open customer details → check Order History</t>
  </si>
  <si>
    <t>Customer order history displayed correctly with market, farmer, status, subtotal, notes, and date</t>
  </si>
  <si>
    <t>Customer status can change</t>
  </si>
  <si>
    <t>Change customer status</t>
  </si>
  <si>
    <t>Change an active/inactive customer status</t>
  </si>
  <si>
    <t>Customer status cannot be changed from the Customers page; only the View action is available</t>
  </si>
  <si>
    <t>Products exist</t>
  </si>
  <si>
    <t>Open product management</t>
  </si>
  <si>
    <t>Open Admin → Products</t>
  </si>
  <si>
    <t>Product management opened successfully and displays products with farmer, category, price, stock, status, and actions</t>
  </si>
  <si>
    <t>Pending product exists</t>
  </si>
  <si>
    <t>Approve product</t>
  </si>
  <si>
    <t>Select pending product → Approve</t>
  </si>
  <si>
    <t>No pending products were available for approval testing</t>
  </si>
  <si>
    <t>N/A</t>
  </si>
  <si>
    <t>Reject product</t>
  </si>
  <si>
    <t>Select pending product → Reject</t>
  </si>
  <si>
    <t>No pending products were available for rejection testing</t>
  </si>
  <si>
    <t>Approved available product exists</t>
  </si>
  <si>
    <t>Remove product</t>
  </si>
  <si>
    <t>Select approved available product → Remove</t>
  </si>
  <si>
    <t>Remove action is implemented in the code, but this workflow was not manually tested</t>
  </si>
  <si>
    <t>Unavailable product exists</t>
  </si>
  <si>
    <t>Restore product</t>
  </si>
  <si>
    <t>Select unavailable product → Restore</t>
  </si>
  <si>
    <t>Restore action is implemented in the code, but this workflow was not manually tested</t>
  </si>
  <si>
    <t>More than 8 products exist</t>
  </si>
  <si>
    <t>Open Products → move between pages</t>
  </si>
  <si>
    <t>Product pagination is implemented with 8 products per page and numbered navigation</t>
  </si>
  <si>
    <t>Markets exist</t>
  </si>
  <si>
    <t>Open market management</t>
  </si>
  <si>
    <t>Open Admin → Markets</t>
  </si>
  <si>
    <t>Market management opened successfully and displays 5 markets with address, operating hours, status, and actions</t>
  </si>
  <si>
    <t>Active market exists</t>
  </si>
  <si>
    <t>Change market status</t>
  </si>
  <si>
    <t>Deactivate an active market → verify status</t>
  </si>
  <si>
    <t>Market status change is implemented, but this workflow was not manually tested</t>
  </si>
  <si>
    <t>Inactive market exists</t>
  </si>
  <si>
    <t>Reactivate market</t>
  </si>
  <si>
    <t>Activate an inactive market → verify status</t>
  </si>
  <si>
    <t>Market activation is implemented, but this workflow was not manually tested</t>
  </si>
  <si>
    <t>Market exists</t>
  </si>
  <si>
    <t>Open edit market</t>
  </si>
  <si>
    <t>Click Edit for a market</t>
  </si>
  <si>
    <t>Market edit page opened successfully and provides fields for market details, location, map, hours, operating days, and status</t>
  </si>
  <si>
    <t>Add Market</t>
  </si>
  <si>
    <t>Create a market</t>
  </si>
  <si>
    <t>Enter valid market information → submit</t>
  </si>
  <si>
    <t>Add Market page opened successfully with fields for market information, coordinates, map provider, hours, operating days, and status</t>
  </si>
  <si>
    <t>Market creation form exists</t>
  </si>
  <si>
    <t>Validate required fields</t>
  </si>
  <si>
    <t>Submit without required name/address</t>
  </si>
  <si>
    <t>Required name and address validation is implemented in the form processing code</t>
  </si>
  <si>
    <t>Valid market data exists</t>
  </si>
  <si>
    <t>Verify created market</t>
  </si>
  <si>
    <t>Create market → return to Markets → verify it appears</t>
  </si>
  <si>
    <t>Market creation is implemented, but successful creation uses the broken redirect function; workflow was not manually tested</t>
  </si>
  <si>
    <t>Edit Market</t>
  </si>
  <si>
    <t>Existing market exists</t>
  </si>
  <si>
    <t>Edit market information</t>
  </si>
  <si>
    <t>Change market details → Save Changes</t>
  </si>
  <si>
    <t>Edit Market validates the submitted fields and updates the selected market in the database</t>
  </si>
  <si>
    <t>Verify edited information</t>
  </si>
  <si>
    <t>Save changes → reload → verify changes remain</t>
  </si>
  <si>
    <t>Edited market information is written to the database by the update operation</t>
  </si>
  <si>
    <t>Market has coordinates</t>
  </si>
  <si>
    <t>Verify map</t>
  </si>
  <si>
    <t>Open edit page → check map and stored location</t>
  </si>
  <si>
    <t>Edit Market includes a Leaflet map and loads stored market coordinates when available</t>
  </si>
  <si>
    <t>Categories</t>
  </si>
  <si>
    <t>Categories exist</t>
  </si>
  <si>
    <t>Open category management</t>
  </si>
  <si>
    <t>Open Admin → Categories</t>
  </si>
  <si>
    <t>Category management includes category listing, search, pagination, and management actions</t>
  </si>
  <si>
    <t>Valid category data</t>
  </si>
  <si>
    <t>Create category</t>
  </si>
  <si>
    <t>Enter category name/description/status → Add</t>
  </si>
  <si>
    <t>Category creation is implemented with CSRF and validation, but successful creation calls the broken redirect function</t>
  </si>
  <si>
    <t>Existing category exists</t>
  </si>
  <si>
    <t>Edit category</t>
  </si>
  <si>
    <t>Select Edit → change category information → save</t>
  </si>
  <si>
    <t>Category update is implemented with validation, but successful update calls the broken redirect function</t>
  </si>
  <si>
    <t>Category has no products</t>
  </si>
  <si>
    <t>Delete category</t>
  </si>
  <si>
    <t>Select an unused category → Delete</t>
  </si>
  <si>
    <t>Category deletion is implemented, but successful deletion calls the broken redirect function</t>
  </si>
  <si>
    <t>Category is assigned to products</t>
  </si>
  <si>
    <t>Protect category data</t>
  </si>
  <si>
    <t>Attempt to delete category used by products</t>
  </si>
  <si>
    <t>Code checks for assigned products and blocks deletion when products use the category</t>
  </si>
  <si>
    <t>Search and paginate categories</t>
  </si>
  <si>
    <t>Search for a category → navigate pages if available</t>
  </si>
  <si>
    <t>Category search and pagination are implemented in the category management page</t>
  </si>
  <si>
    <t>Announcements</t>
  </si>
  <si>
    <t>Open announcements</t>
  </si>
  <si>
    <t>Open Admin → Announcements</t>
  </si>
  <si>
    <t>Announcement management page supports listing and management of announcements</t>
  </si>
  <si>
    <t>Valid announcement data</t>
  </si>
  <si>
    <t>Create announcement</t>
  </si>
  <si>
    <t>Enter title/message → select status → submit</t>
  </si>
  <si>
    <t>Announcement creation validates CSRF, title, message, status, and optional expiry before inserting the announcement</t>
  </si>
  <si>
    <t>Draft announcement exists</t>
  </si>
  <si>
    <t>Change announcement status</t>
  </si>
  <si>
    <t>Publish/archive/draft an announcement</t>
  </si>
  <si>
    <t>Announcement status changes are implemented, but successful status changes call the broken redirect function</t>
  </si>
  <si>
    <t>Published announcement exists</t>
  </si>
  <si>
    <t>Verify notifications</t>
  </si>
  <si>
    <t>Publish announcement → check customer/farmer notifications</t>
  </si>
  <si>
    <t>Publishing an announcement creates notifications for customer and farmer users</t>
  </si>
  <si>
    <t>Announcement exists</t>
  </si>
  <si>
    <t>Delete announcement</t>
  </si>
  <si>
    <t>Delete an existing announcement</t>
  </si>
  <si>
    <t>Announcement deletion is implemented, but successful deletion calls the broken redirect function</t>
  </si>
  <si>
    <t>Notifications</t>
  </si>
  <si>
    <t>Notifications exist</t>
  </si>
  <si>
    <t>Open notifications</t>
  </si>
  <si>
    <t>Open Admin → Notifications</t>
  </si>
  <si>
    <t>Notifications management opened successfully with notification counts, filters, and records</t>
  </si>
  <si>
    <t>Verify notification records</t>
  </si>
  <si>
    <t>Check user, title/message, type, status and date</t>
  </si>
  <si>
    <t>Notification records display user, title/message, type, status, and date</t>
  </si>
  <si>
    <t>Read/unread notifications exist</t>
  </si>
  <si>
    <t>Filter notifications</t>
  </si>
  <si>
    <t>Test Read/Unread status filter</t>
  </si>
  <si>
    <t>Read and unread notification filters are implemented in the notifications page</t>
  </si>
  <si>
    <t>Multiple notification types exist</t>
  </si>
  <si>
    <t>Filter by notification type</t>
  </si>
  <si>
    <t>Select notification type → verify results</t>
  </si>
  <si>
    <t>Notification type filtering is implemented using the available notification types</t>
  </si>
  <si>
    <t>Low</t>
  </si>
  <si>
    <t>Reports</t>
  </si>
  <si>
    <t>Open reports</t>
  </si>
  <si>
    <t>Open Admin → Reports</t>
  </si>
  <si>
    <t>Reports page includes system statistics, recent orders, farmer activity, and market revenue</t>
  </si>
  <si>
    <t>System data exists</t>
  </si>
  <si>
    <t>Verify report statistics</t>
  </si>
  <si>
    <t>Check customers, farmers, markets, products, orders and sales totals</t>
  </si>
  <si>
    <t>Report queries calculate customers, farmers, markets, products, orders, completed orders, and total sales</t>
  </si>
  <si>
    <t>Verify recent orders report</t>
  </si>
  <si>
    <t>Check recent orders, status, subtotal and date</t>
  </si>
  <si>
    <t>Recent orders report retrieves the latest 10 orders with customer, market, status, subtotal, and date</t>
  </si>
  <si>
    <t>Farmer/order data exists</t>
  </si>
  <si>
    <t>Verify farmer activity</t>
  </si>
  <si>
    <t>Check farmers ranked by number of orders</t>
  </si>
  <si>
    <t>Farmer activity report ranks farmers by order count and displays the top 10</t>
  </si>
  <si>
    <t>Completed orders exist</t>
  </si>
  <si>
    <t>Verify market revenue</t>
  </si>
  <si>
    <t>Check revenue shown for markets</t>
  </si>
  <si>
    <t>Market revenue is calculated from completed-order subtotals for each market</t>
  </si>
  <si>
    <t>Orders</t>
  </si>
  <si>
    <t>Customer orders exist</t>
  </si>
  <si>
    <t>Open order management</t>
  </si>
  <si>
    <t>Open Admin → Orders</t>
  </si>
  <si>
    <t>Order management opened successfully and lists customer orders</t>
  </si>
  <si>
    <t>Verify order information</t>
  </si>
  <si>
    <t>Check customer, contact, farmer, market, total, status and date</t>
  </si>
  <si>
    <t>Order listing retrieves customer, farmer, market, order status, subtotal, and creation date</t>
  </si>
  <si>
    <t>More than 10 orders exist</t>
  </si>
  <si>
    <t>Navigate between order pages</t>
  </si>
  <si>
    <t>Order pagination is implemented with 10 orders per page</t>
  </si>
  <si>
    <t>No orders exist</t>
  </si>
  <si>
    <t>Verify empty state</t>
  </si>
  <si>
    <t>Open Orders with no customer orders → check empty message</t>
  </si>
  <si>
    <t>Orders page contains an empty-state message when no customer orders are returned</t>
  </si>
  <si>
    <t>Reviews exist</t>
  </si>
  <si>
    <t>Open review management</t>
  </si>
  <si>
    <t>Open Admin → Reviews</t>
  </si>
  <si>
    <t>Review management opened successfully and displays review records and status summaries</t>
  </si>
  <si>
    <t>Pending review exists</t>
  </si>
  <si>
    <t>Approve review</t>
  </si>
  <si>
    <t>Select pending review → Approve</t>
  </si>
  <si>
    <t>Review approval is implemented, but the successful action calls the broken redirect function</t>
  </si>
  <si>
    <t>Pending/approved review exists</t>
  </si>
  <si>
    <t>Remove review</t>
  </si>
  <si>
    <t>Select review → Remove</t>
  </si>
  <si>
    <t>Review removal is implemented, but the successful action calls the broken redirect function</t>
  </si>
  <si>
    <t>Verify review information</t>
  </si>
  <si>
    <t>Check customer, review type, subject, comment, rating and status</t>
  </si>
  <si>
    <t>Review records display customer, review type, subject, comment, rating, status, and date</t>
  </si>
  <si>
    <t>Reviews have different statuses</t>
  </si>
  <si>
    <t>Verify review summary</t>
  </si>
  <si>
    <t>Check Total, Pending, Approved and Removed counts</t>
  </si>
  <si>
    <t>Review summary calculates and displays total, pending, approved, and rejected review counts</t>
  </si>
  <si>
    <t>Moderation / Management</t>
  </si>
  <si>
    <t>Verify admin-only access</t>
  </si>
  <si>
    <t>Attempt to open an Admin page without admin authorization</t>
  </si>
  <si>
    <t>Admin pages use requireRole(R_ADMIN) to restrict access to administrators</t>
  </si>
  <si>
    <t>CRUD Validation</t>
  </si>
  <si>
    <t>Admin forms are available</t>
  </si>
  <si>
    <t>Verify CSRF protection</t>
  </si>
  <si>
    <t>Submit important admin POST form with invalid CSRF token</t>
  </si>
  <si>
    <t>Admin POST actions such as Farmers, Categories, Announcements, Markets, and Reviews verify the CSRF token</t>
  </si>
  <si>
    <t>Verify invalid IDs are handled</t>
  </si>
  <si>
    <t>Submit/open admin action using nonexistent ID</t>
  </si>
  <si>
    <t>Admin pages validate IDs and handle invalid or nonexistent farmer, market, customer, and other records</t>
  </si>
  <si>
    <t>Admin CRUD operations are available</t>
  </si>
  <si>
    <t>Verify database changes persist</t>
  </si>
  <si>
    <t>Perform create/update/status action → reload page → verify change</t>
  </si>
  <si>
    <t>Several admin CRUD/status actions update the database but then encounter the known broken recursive redirect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</si>
</sst>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0" fontId="0" fillId="4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42A4-B302-4136-BDF2-DA0E71D912DC}">
  <dimension ref="A1:I34"/>
  <sheetViews>
    <sheetView workbookViewId="0">
      <selection activeCell="G24" sqref="G24"/>
    </sheetView>
  </sheetViews>
  <sheetFormatPr defaultRowHeight="14.4" x14ac:dyDescent="0.3"/>
  <cols>
    <col min="1" max="1" width="8.33203125" bestFit="1" customWidth="1"/>
    <col min="2" max="2" width="16.109375" hidden="1" customWidth="1"/>
    <col min="3" max="3" width="14.44140625" customWidth="1"/>
    <col min="4" max="4" width="34.5546875" bestFit="1" customWidth="1"/>
    <col min="5" max="5" width="55.109375" bestFit="1" customWidth="1"/>
    <col min="6" max="6" width="49.5546875" bestFit="1" customWidth="1"/>
    <col min="7" max="7" width="8.33203125" customWidth="1"/>
    <col min="8" max="8" width="10.21875" customWidth="1"/>
    <col min="9" max="9" width="9.6640625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tr">
        <f>"AUTH-"&amp;IF(B2="","",TEXT(ROW()-1,"00"))</f>
        <v>AUTH-01</v>
      </c>
      <c r="B2" t="s">
        <v>9</v>
      </c>
      <c r="C2" t="s">
        <v>10</v>
      </c>
      <c r="D2" t="s">
        <v>11</v>
      </c>
      <c r="E2" t="s">
        <v>110</v>
      </c>
      <c r="F2" t="s">
        <v>16</v>
      </c>
      <c r="G2" s="2" t="s">
        <v>12</v>
      </c>
      <c r="H2" t="s">
        <v>13</v>
      </c>
      <c r="I2" t="s">
        <v>14</v>
      </c>
    </row>
    <row r="3" spans="1:9" x14ac:dyDescent="0.3">
      <c r="A3" t="str">
        <f t="shared" ref="A3:A34" si="0">"AUTH-"&amp;IF(B3="","",TEXT(ROW()-1,"00"))</f>
        <v>AUTH-02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s="2" t="s">
        <v>12</v>
      </c>
      <c r="H3" t="s">
        <v>15</v>
      </c>
      <c r="I3" t="s">
        <v>14</v>
      </c>
    </row>
    <row r="4" spans="1:9" x14ac:dyDescent="0.3">
      <c r="A4" t="str">
        <f t="shared" si="0"/>
        <v>AUTH-03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s="2" t="s">
        <v>12</v>
      </c>
      <c r="H4" t="s">
        <v>15</v>
      </c>
      <c r="I4" t="s">
        <v>14</v>
      </c>
    </row>
    <row r="5" spans="1:9" x14ac:dyDescent="0.3">
      <c r="A5" t="str">
        <f t="shared" si="0"/>
        <v>AUTH-04</v>
      </c>
      <c r="B5" t="s">
        <v>9</v>
      </c>
      <c r="C5" t="s">
        <v>10</v>
      </c>
      <c r="D5" t="s">
        <v>23</v>
      </c>
      <c r="E5" t="s">
        <v>24</v>
      </c>
      <c r="F5" t="s">
        <v>25</v>
      </c>
      <c r="G5" s="2" t="s">
        <v>12</v>
      </c>
      <c r="H5" t="s">
        <v>15</v>
      </c>
      <c r="I5" t="s">
        <v>14</v>
      </c>
    </row>
    <row r="6" spans="1:9" x14ac:dyDescent="0.3">
      <c r="A6" t="str">
        <f t="shared" si="0"/>
        <v>AUTH-05</v>
      </c>
      <c r="B6" t="s">
        <v>9</v>
      </c>
      <c r="C6" t="s">
        <v>10</v>
      </c>
      <c r="D6" t="s">
        <v>26</v>
      </c>
      <c r="E6" t="s">
        <v>27</v>
      </c>
      <c r="F6" t="s">
        <v>28</v>
      </c>
      <c r="G6" s="2" t="s">
        <v>12</v>
      </c>
      <c r="H6" t="s">
        <v>15</v>
      </c>
      <c r="I6" t="s">
        <v>14</v>
      </c>
    </row>
    <row r="7" spans="1:9" x14ac:dyDescent="0.3">
      <c r="A7" t="str">
        <f>"AUTH-"&amp;IF(B7="","",TEXT(ROW()-1,"00"))</f>
        <v>AUTH-06</v>
      </c>
      <c r="B7" t="s">
        <v>9</v>
      </c>
      <c r="C7" t="s">
        <v>10</v>
      </c>
      <c r="D7" t="s">
        <v>29</v>
      </c>
      <c r="E7" t="s">
        <v>30</v>
      </c>
      <c r="F7" t="s">
        <v>31</v>
      </c>
      <c r="G7" s="2" t="s">
        <v>12</v>
      </c>
      <c r="H7" t="s">
        <v>13</v>
      </c>
      <c r="I7" t="s">
        <v>14</v>
      </c>
    </row>
    <row r="8" spans="1:9" x14ac:dyDescent="0.3">
      <c r="A8" t="str">
        <f t="shared" si="0"/>
        <v>AUTH-07</v>
      </c>
      <c r="B8" t="s">
        <v>9</v>
      </c>
      <c r="C8" t="s">
        <v>10</v>
      </c>
      <c r="D8" t="s">
        <v>32</v>
      </c>
      <c r="E8" t="s">
        <v>33</v>
      </c>
      <c r="F8" t="s">
        <v>34</v>
      </c>
      <c r="G8" s="2" t="s">
        <v>12</v>
      </c>
      <c r="H8" t="s">
        <v>13</v>
      </c>
      <c r="I8" t="s">
        <v>14</v>
      </c>
    </row>
    <row r="9" spans="1:9" x14ac:dyDescent="0.3">
      <c r="A9" t="str">
        <f t="shared" si="0"/>
        <v>AUTH-08</v>
      </c>
      <c r="B9" t="s">
        <v>9</v>
      </c>
      <c r="C9" t="s">
        <v>10</v>
      </c>
      <c r="D9" t="s">
        <v>35</v>
      </c>
      <c r="E9" t="s">
        <v>36</v>
      </c>
      <c r="F9" t="s">
        <v>37</v>
      </c>
      <c r="G9" s="2" t="s">
        <v>12</v>
      </c>
      <c r="H9" t="s">
        <v>13</v>
      </c>
      <c r="I9" t="s">
        <v>14</v>
      </c>
    </row>
    <row r="10" spans="1:9" x14ac:dyDescent="0.3">
      <c r="A10" t="str">
        <f t="shared" si="0"/>
        <v>AUTH-09</v>
      </c>
      <c r="B10" t="s">
        <v>9</v>
      </c>
      <c r="C10" t="s">
        <v>10</v>
      </c>
      <c r="D10" t="s">
        <v>38</v>
      </c>
      <c r="E10" t="s">
        <v>111</v>
      </c>
      <c r="F10" t="s">
        <v>39</v>
      </c>
      <c r="G10" s="2" t="s">
        <v>12</v>
      </c>
      <c r="H10" t="s">
        <v>15</v>
      </c>
      <c r="I10" t="s">
        <v>14</v>
      </c>
    </row>
    <row r="11" spans="1:9" x14ac:dyDescent="0.3">
      <c r="A11" t="str">
        <f t="shared" si="0"/>
        <v>AUTH-10</v>
      </c>
      <c r="B11" t="s">
        <v>9</v>
      </c>
      <c r="C11" t="s">
        <v>10</v>
      </c>
      <c r="D11" t="s">
        <v>40</v>
      </c>
      <c r="E11" t="s">
        <v>41</v>
      </c>
      <c r="F11" t="s">
        <v>42</v>
      </c>
      <c r="G11" s="2" t="s">
        <v>12</v>
      </c>
      <c r="H11" t="s">
        <v>43</v>
      </c>
      <c r="I11" t="s">
        <v>14</v>
      </c>
    </row>
    <row r="12" spans="1:9" x14ac:dyDescent="0.3">
      <c r="A12" t="str">
        <f t="shared" si="0"/>
        <v>AUTH-11</v>
      </c>
      <c r="B12" t="s">
        <v>9</v>
      </c>
      <c r="C12" t="s">
        <v>10</v>
      </c>
      <c r="D12" t="s">
        <v>44</v>
      </c>
      <c r="E12" t="s">
        <v>45</v>
      </c>
      <c r="F12" t="s">
        <v>46</v>
      </c>
      <c r="G12" s="2" t="s">
        <v>12</v>
      </c>
      <c r="H12" t="s">
        <v>43</v>
      </c>
      <c r="I12" t="s">
        <v>14</v>
      </c>
    </row>
    <row r="13" spans="1:9" x14ac:dyDescent="0.3">
      <c r="A13" t="str">
        <f t="shared" si="0"/>
        <v>AUTH-12</v>
      </c>
      <c r="B13" t="s">
        <v>9</v>
      </c>
      <c r="C13" t="s">
        <v>10</v>
      </c>
      <c r="D13" t="s">
        <v>47</v>
      </c>
      <c r="E13" t="s">
        <v>48</v>
      </c>
      <c r="F13" t="s">
        <v>49</v>
      </c>
      <c r="G13" s="2" t="s">
        <v>12</v>
      </c>
      <c r="H13" t="s">
        <v>43</v>
      </c>
      <c r="I13" t="s">
        <v>14</v>
      </c>
    </row>
    <row r="14" spans="1:9" x14ac:dyDescent="0.3">
      <c r="A14" t="str">
        <f t="shared" si="0"/>
        <v>AUTH-13</v>
      </c>
      <c r="B14" t="s">
        <v>9</v>
      </c>
      <c r="C14" t="s">
        <v>10</v>
      </c>
      <c r="D14" t="s">
        <v>50</v>
      </c>
      <c r="E14" t="s">
        <v>51</v>
      </c>
      <c r="F14" t="s">
        <v>52</v>
      </c>
      <c r="G14" s="2" t="s">
        <v>12</v>
      </c>
      <c r="H14" t="s">
        <v>43</v>
      </c>
      <c r="I14" t="s">
        <v>14</v>
      </c>
    </row>
    <row r="15" spans="1:9" x14ac:dyDescent="0.3">
      <c r="A15" t="str">
        <f t="shared" si="0"/>
        <v>AUTH-14</v>
      </c>
      <c r="B15" t="s">
        <v>9</v>
      </c>
      <c r="C15" t="s">
        <v>10</v>
      </c>
      <c r="D15" t="s">
        <v>53</v>
      </c>
      <c r="E15" t="s">
        <v>54</v>
      </c>
      <c r="F15" t="s">
        <v>55</v>
      </c>
      <c r="G15" s="2" t="s">
        <v>12</v>
      </c>
      <c r="H15" t="s">
        <v>15</v>
      </c>
      <c r="I15" t="s">
        <v>14</v>
      </c>
    </row>
    <row r="16" spans="1:9" x14ac:dyDescent="0.3">
      <c r="A16" t="str">
        <f t="shared" si="0"/>
        <v>AUTH-15</v>
      </c>
      <c r="B16" t="s">
        <v>9</v>
      </c>
      <c r="C16" t="s">
        <v>10</v>
      </c>
      <c r="D16" t="s">
        <v>56</v>
      </c>
      <c r="E16" t="s">
        <v>57</v>
      </c>
      <c r="F16" t="s">
        <v>58</v>
      </c>
      <c r="G16" s="2" t="s">
        <v>12</v>
      </c>
      <c r="H16" t="s">
        <v>15</v>
      </c>
      <c r="I16" t="s">
        <v>14</v>
      </c>
    </row>
    <row r="17" spans="1:9" x14ac:dyDescent="0.3">
      <c r="A17" t="str">
        <f t="shared" si="0"/>
        <v>AUTH-16</v>
      </c>
      <c r="B17" t="s">
        <v>9</v>
      </c>
      <c r="C17" t="s">
        <v>10</v>
      </c>
      <c r="D17" t="s">
        <v>59</v>
      </c>
      <c r="E17" t="s">
        <v>60</v>
      </c>
      <c r="F17" t="s">
        <v>61</v>
      </c>
      <c r="G17" s="2" t="s">
        <v>12</v>
      </c>
      <c r="H17" t="s">
        <v>43</v>
      </c>
      <c r="I17" t="s">
        <v>14</v>
      </c>
    </row>
    <row r="18" spans="1:9" x14ac:dyDescent="0.3">
      <c r="A18" t="str">
        <f t="shared" si="0"/>
        <v>AUTH-17</v>
      </c>
      <c r="B18" t="s">
        <v>9</v>
      </c>
      <c r="C18" t="s">
        <v>10</v>
      </c>
      <c r="D18" t="s">
        <v>62</v>
      </c>
      <c r="E18" t="s">
        <v>63</v>
      </c>
      <c r="F18" t="s">
        <v>64</v>
      </c>
      <c r="G18" s="2" t="s">
        <v>12</v>
      </c>
      <c r="H18" t="s">
        <v>43</v>
      </c>
      <c r="I18" t="s">
        <v>14</v>
      </c>
    </row>
    <row r="19" spans="1:9" x14ac:dyDescent="0.3">
      <c r="A19" t="str">
        <f t="shared" si="0"/>
        <v>AUTH-18</v>
      </c>
      <c r="B19" t="s">
        <v>9</v>
      </c>
      <c r="C19" t="s">
        <v>10</v>
      </c>
      <c r="D19" t="s">
        <v>65</v>
      </c>
      <c r="E19" t="s">
        <v>66</v>
      </c>
      <c r="F19" t="s">
        <v>67</v>
      </c>
      <c r="G19" s="2" t="s">
        <v>12</v>
      </c>
      <c r="H19" t="s">
        <v>43</v>
      </c>
      <c r="I19" t="s">
        <v>14</v>
      </c>
    </row>
    <row r="20" spans="1:9" x14ac:dyDescent="0.3">
      <c r="A20" t="str">
        <f t="shared" si="0"/>
        <v>AUTH-19</v>
      </c>
      <c r="B20" t="s">
        <v>9</v>
      </c>
      <c r="C20" t="s">
        <v>10</v>
      </c>
      <c r="D20" t="s">
        <v>68</v>
      </c>
      <c r="E20" t="s">
        <v>69</v>
      </c>
      <c r="F20" t="s">
        <v>67</v>
      </c>
      <c r="G20" s="2" t="s">
        <v>12</v>
      </c>
      <c r="H20" t="s">
        <v>43</v>
      </c>
      <c r="I20" t="s">
        <v>14</v>
      </c>
    </row>
    <row r="21" spans="1:9" x14ac:dyDescent="0.3">
      <c r="A21" t="str">
        <f t="shared" si="0"/>
        <v>AUTH-20</v>
      </c>
      <c r="B21" t="s">
        <v>9</v>
      </c>
      <c r="C21" t="s">
        <v>10</v>
      </c>
      <c r="D21" t="s">
        <v>70</v>
      </c>
      <c r="E21" t="s">
        <v>71</v>
      </c>
      <c r="F21" t="s">
        <v>67</v>
      </c>
      <c r="G21" s="2" t="s">
        <v>12</v>
      </c>
      <c r="H21" t="s">
        <v>43</v>
      </c>
      <c r="I21" t="s">
        <v>14</v>
      </c>
    </row>
    <row r="22" spans="1:9" x14ac:dyDescent="0.3">
      <c r="A22" t="str">
        <f t="shared" si="0"/>
        <v>AUTH-21</v>
      </c>
      <c r="B22" t="s">
        <v>9</v>
      </c>
      <c r="C22" t="s">
        <v>10</v>
      </c>
      <c r="D22" t="s">
        <v>72</v>
      </c>
      <c r="E22" t="s">
        <v>73</v>
      </c>
      <c r="F22" t="s">
        <v>67</v>
      </c>
      <c r="G22" s="2" t="s">
        <v>12</v>
      </c>
      <c r="H22" t="s">
        <v>43</v>
      </c>
      <c r="I22" t="s">
        <v>14</v>
      </c>
    </row>
    <row r="23" spans="1:9" x14ac:dyDescent="0.3">
      <c r="A23" t="str">
        <f t="shared" si="0"/>
        <v>AUTH-22</v>
      </c>
      <c r="B23" t="s">
        <v>9</v>
      </c>
      <c r="C23" t="s">
        <v>10</v>
      </c>
      <c r="D23" t="s">
        <v>74</v>
      </c>
      <c r="E23" t="s">
        <v>75</v>
      </c>
      <c r="F23" t="s">
        <v>76</v>
      </c>
      <c r="G23" s="2" t="s">
        <v>12</v>
      </c>
      <c r="H23" t="s">
        <v>43</v>
      </c>
      <c r="I23" t="s">
        <v>14</v>
      </c>
    </row>
    <row r="24" spans="1:9" x14ac:dyDescent="0.3">
      <c r="A24" t="str">
        <f t="shared" si="0"/>
        <v>AUTH-23</v>
      </c>
      <c r="B24" t="s">
        <v>9</v>
      </c>
      <c r="C24" t="s">
        <v>10</v>
      </c>
      <c r="D24" t="s">
        <v>77</v>
      </c>
      <c r="E24" t="s">
        <v>78</v>
      </c>
      <c r="F24" t="s">
        <v>79</v>
      </c>
      <c r="G24" s="2" t="s">
        <v>12</v>
      </c>
      <c r="H24" t="s">
        <v>15</v>
      </c>
      <c r="I24" t="s">
        <v>14</v>
      </c>
    </row>
    <row r="25" spans="1:9" x14ac:dyDescent="0.3">
      <c r="A25" t="str">
        <f t="shared" si="0"/>
        <v>AUTH-24</v>
      </c>
      <c r="B25" t="s">
        <v>9</v>
      </c>
      <c r="C25" t="s">
        <v>10</v>
      </c>
      <c r="D25" t="s">
        <v>80</v>
      </c>
      <c r="E25" t="s">
        <v>81</v>
      </c>
      <c r="F25" t="s">
        <v>82</v>
      </c>
      <c r="G25" s="2" t="s">
        <v>12</v>
      </c>
      <c r="H25" t="s">
        <v>43</v>
      </c>
      <c r="I25" t="s">
        <v>14</v>
      </c>
    </row>
    <row r="26" spans="1:9" x14ac:dyDescent="0.3">
      <c r="A26" t="str">
        <f t="shared" si="0"/>
        <v>AUTH-25</v>
      </c>
      <c r="B26" t="s">
        <v>9</v>
      </c>
      <c r="C26" t="s">
        <v>10</v>
      </c>
      <c r="D26" t="s">
        <v>83</v>
      </c>
      <c r="E26" t="s">
        <v>84</v>
      </c>
      <c r="F26" t="s">
        <v>85</v>
      </c>
      <c r="G26" s="2" t="s">
        <v>12</v>
      </c>
      <c r="H26" t="s">
        <v>43</v>
      </c>
      <c r="I26" t="s">
        <v>14</v>
      </c>
    </row>
    <row r="27" spans="1:9" x14ac:dyDescent="0.3">
      <c r="A27" t="str">
        <f t="shared" si="0"/>
        <v>AUTH-26</v>
      </c>
      <c r="B27" t="s">
        <v>9</v>
      </c>
      <c r="C27" t="s">
        <v>10</v>
      </c>
      <c r="D27" t="s">
        <v>86</v>
      </c>
      <c r="E27" t="s">
        <v>87</v>
      </c>
      <c r="F27" t="s">
        <v>88</v>
      </c>
      <c r="G27" s="2" t="s">
        <v>12</v>
      </c>
      <c r="H27" t="s">
        <v>15</v>
      </c>
      <c r="I27" t="s">
        <v>14</v>
      </c>
    </row>
    <row r="28" spans="1:9" x14ac:dyDescent="0.3">
      <c r="A28" t="str">
        <f t="shared" si="0"/>
        <v>AUTH-27</v>
      </c>
      <c r="B28" t="s">
        <v>9</v>
      </c>
      <c r="C28" t="s">
        <v>10</v>
      </c>
      <c r="D28" t="s">
        <v>89</v>
      </c>
      <c r="E28" t="s">
        <v>90</v>
      </c>
      <c r="F28" t="s">
        <v>91</v>
      </c>
      <c r="G28" s="2" t="s">
        <v>12</v>
      </c>
      <c r="H28" t="s">
        <v>13</v>
      </c>
      <c r="I28" t="s">
        <v>14</v>
      </c>
    </row>
    <row r="29" spans="1:9" x14ac:dyDescent="0.3">
      <c r="A29" t="str">
        <f t="shared" si="0"/>
        <v>AUTH-28</v>
      </c>
      <c r="B29" t="s">
        <v>9</v>
      </c>
      <c r="C29" t="s">
        <v>10</v>
      </c>
      <c r="D29" t="s">
        <v>92</v>
      </c>
      <c r="E29" t="s">
        <v>93</v>
      </c>
      <c r="F29" t="s">
        <v>94</v>
      </c>
      <c r="G29" s="2" t="s">
        <v>12</v>
      </c>
      <c r="H29" t="s">
        <v>15</v>
      </c>
      <c r="I29" t="s">
        <v>14</v>
      </c>
    </row>
    <row r="30" spans="1:9" x14ac:dyDescent="0.3">
      <c r="A30" t="str">
        <f t="shared" si="0"/>
        <v>AUTH-29</v>
      </c>
      <c r="B30" t="s">
        <v>9</v>
      </c>
      <c r="C30" t="s">
        <v>10</v>
      </c>
      <c r="D30" t="s">
        <v>95</v>
      </c>
      <c r="E30" t="s">
        <v>96</v>
      </c>
      <c r="F30" t="s">
        <v>55</v>
      </c>
      <c r="G30" s="2" t="s">
        <v>12</v>
      </c>
      <c r="H30" t="s">
        <v>15</v>
      </c>
      <c r="I30" t="s">
        <v>14</v>
      </c>
    </row>
    <row r="31" spans="1:9" x14ac:dyDescent="0.3">
      <c r="A31" t="str">
        <f t="shared" si="0"/>
        <v>AUTH-30</v>
      </c>
      <c r="B31" t="s">
        <v>9</v>
      </c>
      <c r="C31" t="s">
        <v>10</v>
      </c>
      <c r="D31" t="s">
        <v>97</v>
      </c>
      <c r="E31" t="s">
        <v>98</v>
      </c>
      <c r="F31" t="s">
        <v>99</v>
      </c>
      <c r="G31" s="2" t="s">
        <v>12</v>
      </c>
      <c r="H31" t="s">
        <v>100</v>
      </c>
      <c r="I31" t="s">
        <v>14</v>
      </c>
    </row>
    <row r="32" spans="1:9" x14ac:dyDescent="0.3">
      <c r="A32" t="str">
        <f t="shared" si="0"/>
        <v>AUTH-31</v>
      </c>
      <c r="B32" t="s">
        <v>9</v>
      </c>
      <c r="C32" t="s">
        <v>10</v>
      </c>
      <c r="D32" t="s">
        <v>101</v>
      </c>
      <c r="E32" t="s">
        <v>102</v>
      </c>
      <c r="F32" t="s">
        <v>103</v>
      </c>
      <c r="G32" s="2" t="s">
        <v>12</v>
      </c>
      <c r="H32" t="s">
        <v>13</v>
      </c>
      <c r="I32" t="s">
        <v>14</v>
      </c>
    </row>
    <row r="33" spans="1:9" x14ac:dyDescent="0.3">
      <c r="A33" t="str">
        <f t="shared" si="0"/>
        <v>AUTH-32</v>
      </c>
      <c r="B33" t="s">
        <v>9</v>
      </c>
      <c r="C33" t="s">
        <v>10</v>
      </c>
      <c r="D33" t="s">
        <v>104</v>
      </c>
      <c r="E33" t="s">
        <v>105</v>
      </c>
      <c r="F33" t="s">
        <v>106</v>
      </c>
      <c r="G33" s="2" t="s">
        <v>12</v>
      </c>
      <c r="H33" t="s">
        <v>100</v>
      </c>
      <c r="I33" t="s">
        <v>14</v>
      </c>
    </row>
    <row r="34" spans="1:9" x14ac:dyDescent="0.3">
      <c r="A34" t="str">
        <f t="shared" si="0"/>
        <v>AUTH-33</v>
      </c>
      <c r="B34" t="s">
        <v>9</v>
      </c>
      <c r="C34" t="s">
        <v>10</v>
      </c>
      <c r="D34" t="s">
        <v>107</v>
      </c>
      <c r="E34" t="s">
        <v>108</v>
      </c>
      <c r="F34" t="s">
        <v>109</v>
      </c>
      <c r="G34" s="2" t="s">
        <v>12</v>
      </c>
      <c r="H34" t="s">
        <v>100</v>
      </c>
      <c r="I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0708-EA3A-4915-8BD5-EAD00252B068}">
  <dimension ref="A1:I71"/>
  <sheetViews>
    <sheetView tabSelected="1" topLeftCell="F1" workbookViewId="0">
      <selection activeCell="F8" sqref="F8"/>
    </sheetView>
  </sheetViews>
  <sheetFormatPr defaultRowHeight="14.4" x14ac:dyDescent="0.3"/>
  <cols>
    <col min="1" max="1" width="8.44140625" bestFit="1" customWidth="1"/>
    <col min="2" max="2" width="23.44140625" bestFit="1" customWidth="1"/>
    <col min="3" max="3" width="31.88671875" bestFit="1" customWidth="1"/>
    <col min="4" max="4" width="33.44140625" bestFit="1" customWidth="1"/>
    <col min="5" max="5" width="57.88671875" bestFit="1" customWidth="1"/>
    <col min="6" max="6" width="111.77734375" bestFit="1" customWidth="1"/>
    <col min="7" max="7" width="8" style="11" bestFit="1" customWidth="1"/>
    <col min="8" max="8" width="9.5546875" bestFit="1" customWidth="1"/>
    <col min="9" max="9" width="14.55468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8" t="s">
        <v>6</v>
      </c>
      <c r="H1" s="7" t="s">
        <v>7</v>
      </c>
      <c r="I1" s="1" t="s">
        <v>8</v>
      </c>
    </row>
    <row r="2" spans="1:9" x14ac:dyDescent="0.3">
      <c r="A2" t="str">
        <f>"ADM-"&amp;IF(B2="","",TEXT(ROW()-1,"00"))</f>
        <v>ADM-01</v>
      </c>
      <c r="B2" t="s">
        <v>332</v>
      </c>
      <c r="C2" t="s">
        <v>428</v>
      </c>
      <c r="D2" t="s">
        <v>429</v>
      </c>
      <c r="E2" t="s">
        <v>430</v>
      </c>
      <c r="F2" t="s">
        <v>431</v>
      </c>
      <c r="G2" s="9" t="s">
        <v>12</v>
      </c>
      <c r="H2" t="s">
        <v>432</v>
      </c>
      <c r="I2" t="s">
        <v>433</v>
      </c>
    </row>
    <row r="3" spans="1:9" x14ac:dyDescent="0.3">
      <c r="A3" t="str">
        <f t="shared" ref="A3:A66" si="0">"ADM-"&amp;IF(B3="","",TEXT(ROW()-1,"00"))</f>
        <v>ADM-02</v>
      </c>
      <c r="B3" t="s">
        <v>332</v>
      </c>
      <c r="C3" t="s">
        <v>434</v>
      </c>
      <c r="D3" t="s">
        <v>435</v>
      </c>
      <c r="E3" t="s">
        <v>436</v>
      </c>
      <c r="F3" t="s">
        <v>437</v>
      </c>
      <c r="G3" s="9" t="s">
        <v>12</v>
      </c>
      <c r="H3" t="s">
        <v>432</v>
      </c>
      <c r="I3" t="s">
        <v>433</v>
      </c>
    </row>
    <row r="4" spans="1:9" x14ac:dyDescent="0.3">
      <c r="A4" t="str">
        <f t="shared" si="0"/>
        <v>ADM-03</v>
      </c>
      <c r="B4" t="s">
        <v>332</v>
      </c>
      <c r="C4" t="s">
        <v>438</v>
      </c>
      <c r="D4" t="s">
        <v>439</v>
      </c>
      <c r="E4" t="s">
        <v>440</v>
      </c>
      <c r="F4" t="s">
        <v>441</v>
      </c>
      <c r="G4" s="9" t="s">
        <v>12</v>
      </c>
      <c r="H4" t="s">
        <v>432</v>
      </c>
      <c r="I4" t="s">
        <v>433</v>
      </c>
    </row>
    <row r="5" spans="1:9" x14ac:dyDescent="0.3">
      <c r="A5" t="str">
        <f t="shared" si="0"/>
        <v>ADM-04</v>
      </c>
      <c r="B5" t="s">
        <v>332</v>
      </c>
      <c r="C5" t="s">
        <v>442</v>
      </c>
      <c r="D5" t="s">
        <v>443</v>
      </c>
      <c r="E5" t="s">
        <v>444</v>
      </c>
      <c r="F5" t="s">
        <v>445</v>
      </c>
      <c r="G5" s="9" t="s">
        <v>12</v>
      </c>
      <c r="H5" t="s">
        <v>446</v>
      </c>
      <c r="I5" t="s">
        <v>433</v>
      </c>
    </row>
    <row r="6" spans="1:9" x14ac:dyDescent="0.3">
      <c r="A6" t="str">
        <f t="shared" si="0"/>
        <v>ADM-05</v>
      </c>
      <c r="B6" t="s">
        <v>447</v>
      </c>
      <c r="C6" t="s">
        <v>448</v>
      </c>
      <c r="D6" t="s">
        <v>449</v>
      </c>
      <c r="E6" t="s">
        <v>450</v>
      </c>
      <c r="F6" t="s">
        <v>451</v>
      </c>
      <c r="G6" s="9" t="s">
        <v>12</v>
      </c>
      <c r="H6" t="s">
        <v>432</v>
      </c>
      <c r="I6" t="s">
        <v>433</v>
      </c>
    </row>
    <row r="7" spans="1:9" x14ac:dyDescent="0.3">
      <c r="A7" t="str">
        <f t="shared" si="0"/>
        <v>ADM-06</v>
      </c>
      <c r="B7" t="s">
        <v>447</v>
      </c>
      <c r="C7" t="s">
        <v>452</v>
      </c>
      <c r="D7" t="s">
        <v>453</v>
      </c>
      <c r="E7" t="s">
        <v>454</v>
      </c>
      <c r="F7" t="s">
        <v>455</v>
      </c>
      <c r="G7" s="9" t="s">
        <v>12</v>
      </c>
      <c r="H7" t="s">
        <v>446</v>
      </c>
      <c r="I7" t="s">
        <v>433</v>
      </c>
    </row>
    <row r="8" spans="1:9" x14ac:dyDescent="0.3">
      <c r="A8" t="str">
        <f t="shared" si="0"/>
        <v>ADM-07</v>
      </c>
      <c r="B8" t="s">
        <v>447</v>
      </c>
      <c r="C8" t="s">
        <v>456</v>
      </c>
      <c r="D8" t="s">
        <v>457</v>
      </c>
      <c r="E8" t="s">
        <v>458</v>
      </c>
      <c r="F8" t="s">
        <v>459</v>
      </c>
      <c r="G8" s="9" t="s">
        <v>12</v>
      </c>
      <c r="H8" t="s">
        <v>432</v>
      </c>
      <c r="I8" t="s">
        <v>433</v>
      </c>
    </row>
    <row r="9" spans="1:9" x14ac:dyDescent="0.3">
      <c r="A9" t="str">
        <f t="shared" si="0"/>
        <v>ADM-08</v>
      </c>
      <c r="B9" t="s">
        <v>447</v>
      </c>
      <c r="C9" t="s">
        <v>460</v>
      </c>
      <c r="D9" t="s">
        <v>461</v>
      </c>
      <c r="E9" t="s">
        <v>462</v>
      </c>
      <c r="F9" t="s">
        <v>463</v>
      </c>
      <c r="G9" s="9" t="s">
        <v>12</v>
      </c>
      <c r="H9" t="s">
        <v>432</v>
      </c>
      <c r="I9" t="s">
        <v>433</v>
      </c>
    </row>
    <row r="10" spans="1:9" x14ac:dyDescent="0.3">
      <c r="A10" t="str">
        <f t="shared" si="0"/>
        <v>ADM-09</v>
      </c>
      <c r="B10" t="s">
        <v>447</v>
      </c>
      <c r="C10" t="s">
        <v>464</v>
      </c>
      <c r="D10" t="s">
        <v>465</v>
      </c>
      <c r="E10" t="s">
        <v>466</v>
      </c>
      <c r="F10" t="s">
        <v>467</v>
      </c>
      <c r="G10" s="9" t="s">
        <v>12</v>
      </c>
      <c r="H10" t="s">
        <v>432</v>
      </c>
      <c r="I10" t="s">
        <v>433</v>
      </c>
    </row>
    <row r="11" spans="1:9" x14ac:dyDescent="0.3">
      <c r="A11" t="str">
        <f t="shared" si="0"/>
        <v>ADM-10</v>
      </c>
      <c r="B11" t="s">
        <v>447</v>
      </c>
      <c r="C11" t="s">
        <v>468</v>
      </c>
      <c r="D11" t="s">
        <v>469</v>
      </c>
      <c r="E11" t="s">
        <v>470</v>
      </c>
      <c r="F11" t="s">
        <v>471</v>
      </c>
      <c r="G11" s="9" t="s">
        <v>12</v>
      </c>
      <c r="H11" t="s">
        <v>446</v>
      </c>
      <c r="I11" t="s">
        <v>433</v>
      </c>
    </row>
    <row r="12" spans="1:9" x14ac:dyDescent="0.3">
      <c r="A12" t="str">
        <f t="shared" si="0"/>
        <v>ADM-11</v>
      </c>
      <c r="B12" t="s">
        <v>472</v>
      </c>
      <c r="C12" t="s">
        <v>473</v>
      </c>
      <c r="D12" t="s">
        <v>474</v>
      </c>
      <c r="E12" t="s">
        <v>475</v>
      </c>
      <c r="F12" t="s">
        <v>476</v>
      </c>
      <c r="G12" s="9" t="s">
        <v>12</v>
      </c>
      <c r="H12" t="s">
        <v>432</v>
      </c>
      <c r="I12" t="s">
        <v>433</v>
      </c>
    </row>
    <row r="13" spans="1:9" x14ac:dyDescent="0.3">
      <c r="A13" t="str">
        <f t="shared" si="0"/>
        <v>ADM-12</v>
      </c>
      <c r="B13" t="s">
        <v>472</v>
      </c>
      <c r="C13" t="s">
        <v>477</v>
      </c>
      <c r="D13" t="s">
        <v>478</v>
      </c>
      <c r="E13" t="s">
        <v>479</v>
      </c>
      <c r="F13" t="s">
        <v>480</v>
      </c>
      <c r="G13" s="9" t="s">
        <v>12</v>
      </c>
      <c r="H13" t="s">
        <v>432</v>
      </c>
      <c r="I13" t="s">
        <v>433</v>
      </c>
    </row>
    <row r="14" spans="1:9" x14ac:dyDescent="0.3">
      <c r="A14" t="str">
        <f t="shared" si="0"/>
        <v>ADM-13</v>
      </c>
      <c r="B14" t="s">
        <v>472</v>
      </c>
      <c r="C14" t="s">
        <v>477</v>
      </c>
      <c r="D14" t="s">
        <v>481</v>
      </c>
      <c r="E14" t="s">
        <v>482</v>
      </c>
      <c r="F14" t="s">
        <v>483</v>
      </c>
      <c r="G14" s="9" t="s">
        <v>12</v>
      </c>
      <c r="H14" t="s">
        <v>432</v>
      </c>
      <c r="I14" t="s">
        <v>433</v>
      </c>
    </row>
    <row r="15" spans="1:9" x14ac:dyDescent="0.3">
      <c r="A15" t="str">
        <f t="shared" si="0"/>
        <v>ADM-14</v>
      </c>
      <c r="B15" t="s">
        <v>472</v>
      </c>
      <c r="C15" t="s">
        <v>484</v>
      </c>
      <c r="D15" t="s">
        <v>485</v>
      </c>
      <c r="E15" t="s">
        <v>486</v>
      </c>
      <c r="F15" t="s">
        <v>487</v>
      </c>
      <c r="G15" s="9" t="s">
        <v>12</v>
      </c>
      <c r="H15" t="s">
        <v>432</v>
      </c>
      <c r="I15" t="s">
        <v>433</v>
      </c>
    </row>
    <row r="16" spans="1:9" x14ac:dyDescent="0.3">
      <c r="A16" t="str">
        <f t="shared" si="0"/>
        <v>ADM-15</v>
      </c>
      <c r="B16" t="s">
        <v>472</v>
      </c>
      <c r="C16" t="s">
        <v>488</v>
      </c>
      <c r="D16" t="s">
        <v>489</v>
      </c>
      <c r="E16" t="s">
        <v>490</v>
      </c>
      <c r="F16" t="s">
        <v>491</v>
      </c>
      <c r="G16" s="10" t="s">
        <v>492</v>
      </c>
      <c r="H16" t="s">
        <v>446</v>
      </c>
      <c r="I16" t="s">
        <v>433</v>
      </c>
    </row>
    <row r="17" spans="1:9" x14ac:dyDescent="0.3">
      <c r="A17" t="str">
        <f t="shared" si="0"/>
        <v>ADM-16</v>
      </c>
      <c r="B17" t="s">
        <v>493</v>
      </c>
      <c r="C17" t="s">
        <v>494</v>
      </c>
      <c r="D17" t="s">
        <v>495</v>
      </c>
      <c r="E17" t="s">
        <v>496</v>
      </c>
      <c r="F17" t="s">
        <v>497</v>
      </c>
      <c r="G17" s="9" t="s">
        <v>12</v>
      </c>
      <c r="H17" t="s">
        <v>446</v>
      </c>
      <c r="I17" t="s">
        <v>433</v>
      </c>
    </row>
    <row r="18" spans="1:9" x14ac:dyDescent="0.3">
      <c r="A18" t="str">
        <f t="shared" si="0"/>
        <v>ADM-17</v>
      </c>
      <c r="B18" t="s">
        <v>493</v>
      </c>
      <c r="C18" t="s">
        <v>498</v>
      </c>
      <c r="D18" t="s">
        <v>499</v>
      </c>
      <c r="E18" t="s">
        <v>500</v>
      </c>
      <c r="F18" t="s">
        <v>501</v>
      </c>
      <c r="G18" s="9" t="s">
        <v>12</v>
      </c>
      <c r="H18" t="s">
        <v>446</v>
      </c>
      <c r="I18" t="s">
        <v>433</v>
      </c>
    </row>
    <row r="19" spans="1:9" x14ac:dyDescent="0.3">
      <c r="A19" t="str">
        <f t="shared" si="0"/>
        <v>ADM-18</v>
      </c>
      <c r="B19" t="s">
        <v>502</v>
      </c>
      <c r="C19" t="s">
        <v>503</v>
      </c>
      <c r="D19" t="s">
        <v>504</v>
      </c>
      <c r="E19" t="s">
        <v>505</v>
      </c>
      <c r="F19" t="s">
        <v>506</v>
      </c>
      <c r="G19" s="9" t="s">
        <v>12</v>
      </c>
      <c r="H19" t="s">
        <v>432</v>
      </c>
      <c r="I19" t="s">
        <v>433</v>
      </c>
    </row>
    <row r="20" spans="1:9" x14ac:dyDescent="0.3">
      <c r="A20" t="str">
        <f t="shared" si="0"/>
        <v>ADM-19</v>
      </c>
      <c r="B20" t="s">
        <v>502</v>
      </c>
      <c r="C20" t="s">
        <v>507</v>
      </c>
      <c r="D20" t="s">
        <v>508</v>
      </c>
      <c r="E20" t="s">
        <v>509</v>
      </c>
      <c r="F20" t="s">
        <v>510</v>
      </c>
      <c r="G20" s="9" t="s">
        <v>12</v>
      </c>
      <c r="H20" t="s">
        <v>446</v>
      </c>
      <c r="I20" t="s">
        <v>433</v>
      </c>
    </row>
    <row r="21" spans="1:9" x14ac:dyDescent="0.3">
      <c r="A21" t="str">
        <f t="shared" si="0"/>
        <v>ADM-20</v>
      </c>
      <c r="B21" t="s">
        <v>502</v>
      </c>
      <c r="C21" t="s">
        <v>511</v>
      </c>
      <c r="D21" t="s">
        <v>512</v>
      </c>
      <c r="E21" t="s">
        <v>513</v>
      </c>
      <c r="F21" t="s">
        <v>514</v>
      </c>
      <c r="G21" s="9" t="s">
        <v>12</v>
      </c>
      <c r="H21" t="s">
        <v>446</v>
      </c>
      <c r="I21" t="s">
        <v>433</v>
      </c>
    </row>
    <row r="22" spans="1:9" x14ac:dyDescent="0.3">
      <c r="A22" t="str">
        <f t="shared" si="0"/>
        <v>ADM-21</v>
      </c>
      <c r="B22" t="s">
        <v>502</v>
      </c>
      <c r="C22" t="s">
        <v>515</v>
      </c>
      <c r="D22" t="s">
        <v>516</v>
      </c>
      <c r="E22" t="s">
        <v>517</v>
      </c>
      <c r="F22" t="s">
        <v>518</v>
      </c>
      <c r="G22" s="10" t="s">
        <v>492</v>
      </c>
      <c r="H22" t="s">
        <v>432</v>
      </c>
      <c r="I22" t="s">
        <v>433</v>
      </c>
    </row>
    <row r="23" spans="1:9" x14ac:dyDescent="0.3">
      <c r="A23" t="str">
        <f t="shared" si="0"/>
        <v>ADM-22</v>
      </c>
      <c r="B23" t="s">
        <v>375</v>
      </c>
      <c r="C23" t="s">
        <v>519</v>
      </c>
      <c r="D23" t="s">
        <v>520</v>
      </c>
      <c r="E23" t="s">
        <v>521</v>
      </c>
      <c r="F23" t="s">
        <v>522</v>
      </c>
      <c r="G23" s="9" t="s">
        <v>12</v>
      </c>
      <c r="H23" t="s">
        <v>432</v>
      </c>
      <c r="I23" t="s">
        <v>433</v>
      </c>
    </row>
    <row r="24" spans="1:9" x14ac:dyDescent="0.3">
      <c r="A24" t="str">
        <f t="shared" si="0"/>
        <v>ADM-23</v>
      </c>
      <c r="B24" t="s">
        <v>375</v>
      </c>
      <c r="C24" t="s">
        <v>523</v>
      </c>
      <c r="D24" t="s">
        <v>524</v>
      </c>
      <c r="E24" t="s">
        <v>525</v>
      </c>
      <c r="F24" t="s">
        <v>526</v>
      </c>
      <c r="G24" s="11" t="s">
        <v>527</v>
      </c>
      <c r="H24" t="s">
        <v>432</v>
      </c>
      <c r="I24" t="s">
        <v>433</v>
      </c>
    </row>
    <row r="25" spans="1:9" x14ac:dyDescent="0.3">
      <c r="A25" t="str">
        <f t="shared" si="0"/>
        <v>ADM-24</v>
      </c>
      <c r="B25" t="s">
        <v>375</v>
      </c>
      <c r="C25" t="s">
        <v>523</v>
      </c>
      <c r="D25" t="s">
        <v>528</v>
      </c>
      <c r="E25" t="s">
        <v>529</v>
      </c>
      <c r="F25" t="s">
        <v>530</v>
      </c>
      <c r="G25" s="11" t="s">
        <v>527</v>
      </c>
      <c r="H25" t="s">
        <v>432</v>
      </c>
      <c r="I25" t="s">
        <v>433</v>
      </c>
    </row>
    <row r="26" spans="1:9" x14ac:dyDescent="0.3">
      <c r="A26" t="str">
        <f t="shared" si="0"/>
        <v>ADM-25</v>
      </c>
      <c r="B26" t="s">
        <v>375</v>
      </c>
      <c r="C26" t="s">
        <v>531</v>
      </c>
      <c r="D26" t="s">
        <v>532</v>
      </c>
      <c r="E26" t="s">
        <v>533</v>
      </c>
      <c r="F26" t="s">
        <v>534</v>
      </c>
      <c r="G26" s="11" t="s">
        <v>527</v>
      </c>
      <c r="H26" t="s">
        <v>432</v>
      </c>
      <c r="I26" t="s">
        <v>433</v>
      </c>
    </row>
    <row r="27" spans="1:9" x14ac:dyDescent="0.3">
      <c r="A27" t="str">
        <f t="shared" si="0"/>
        <v>ADM-26</v>
      </c>
      <c r="B27" t="s">
        <v>375</v>
      </c>
      <c r="C27" t="s">
        <v>535</v>
      </c>
      <c r="D27" t="s">
        <v>536</v>
      </c>
      <c r="E27" t="s">
        <v>537</v>
      </c>
      <c r="F27" t="s">
        <v>538</v>
      </c>
      <c r="G27" s="11" t="s">
        <v>527</v>
      </c>
      <c r="H27" t="s">
        <v>432</v>
      </c>
      <c r="I27" t="s">
        <v>433</v>
      </c>
    </row>
    <row r="28" spans="1:9" x14ac:dyDescent="0.3">
      <c r="A28" t="str">
        <f t="shared" si="0"/>
        <v>ADM-27</v>
      </c>
      <c r="B28" t="s">
        <v>375</v>
      </c>
      <c r="C28" t="s">
        <v>539</v>
      </c>
      <c r="D28" t="s">
        <v>469</v>
      </c>
      <c r="E28" t="s">
        <v>540</v>
      </c>
      <c r="F28" t="s">
        <v>541</v>
      </c>
      <c r="G28" s="9" t="s">
        <v>12</v>
      </c>
      <c r="H28" t="s">
        <v>446</v>
      </c>
      <c r="I28" t="s">
        <v>433</v>
      </c>
    </row>
    <row r="29" spans="1:9" x14ac:dyDescent="0.3">
      <c r="A29" t="str">
        <f t="shared" si="0"/>
        <v>ADM-28</v>
      </c>
      <c r="B29" t="s">
        <v>424</v>
      </c>
      <c r="C29" t="s">
        <v>542</v>
      </c>
      <c r="D29" t="s">
        <v>543</v>
      </c>
      <c r="E29" t="s">
        <v>544</v>
      </c>
      <c r="F29" t="s">
        <v>545</v>
      </c>
      <c r="G29" s="9" t="s">
        <v>12</v>
      </c>
      <c r="H29" t="s">
        <v>432</v>
      </c>
      <c r="I29" t="s">
        <v>433</v>
      </c>
    </row>
    <row r="30" spans="1:9" x14ac:dyDescent="0.3">
      <c r="A30" t="str">
        <f t="shared" si="0"/>
        <v>ADM-29</v>
      </c>
      <c r="B30" t="s">
        <v>424</v>
      </c>
      <c r="C30" t="s">
        <v>546</v>
      </c>
      <c r="D30" t="s">
        <v>547</v>
      </c>
      <c r="E30" t="s">
        <v>548</v>
      </c>
      <c r="F30" t="s">
        <v>549</v>
      </c>
      <c r="G30" s="11" t="s">
        <v>527</v>
      </c>
      <c r="H30" t="s">
        <v>432</v>
      </c>
      <c r="I30" t="s">
        <v>433</v>
      </c>
    </row>
    <row r="31" spans="1:9" x14ac:dyDescent="0.3">
      <c r="A31" t="str">
        <f t="shared" si="0"/>
        <v>ADM-30</v>
      </c>
      <c r="B31" t="s">
        <v>424</v>
      </c>
      <c r="C31" t="s">
        <v>550</v>
      </c>
      <c r="D31" t="s">
        <v>551</v>
      </c>
      <c r="E31" t="s">
        <v>552</v>
      </c>
      <c r="F31" t="s">
        <v>553</v>
      </c>
      <c r="G31" s="11" t="s">
        <v>527</v>
      </c>
      <c r="H31" t="s">
        <v>432</v>
      </c>
      <c r="I31" t="s">
        <v>433</v>
      </c>
    </row>
    <row r="32" spans="1:9" x14ac:dyDescent="0.3">
      <c r="A32" t="str">
        <f t="shared" si="0"/>
        <v>ADM-31</v>
      </c>
      <c r="B32" t="s">
        <v>424</v>
      </c>
      <c r="C32" t="s">
        <v>554</v>
      </c>
      <c r="D32" t="s">
        <v>555</v>
      </c>
      <c r="E32" t="s">
        <v>556</v>
      </c>
      <c r="F32" t="s">
        <v>557</v>
      </c>
      <c r="G32" s="9" t="s">
        <v>12</v>
      </c>
      <c r="H32" t="s">
        <v>446</v>
      </c>
      <c r="I32" t="s">
        <v>433</v>
      </c>
    </row>
    <row r="33" spans="1:9" x14ac:dyDescent="0.3">
      <c r="A33" t="str">
        <f t="shared" si="0"/>
        <v>ADM-32</v>
      </c>
      <c r="B33" t="s">
        <v>558</v>
      </c>
      <c r="C33" t="s">
        <v>448</v>
      </c>
      <c r="D33" t="s">
        <v>559</v>
      </c>
      <c r="E33" t="s">
        <v>560</v>
      </c>
      <c r="F33" t="s">
        <v>561</v>
      </c>
      <c r="G33" s="9" t="s">
        <v>12</v>
      </c>
      <c r="H33" t="s">
        <v>432</v>
      </c>
      <c r="I33" t="s">
        <v>433</v>
      </c>
    </row>
    <row r="34" spans="1:9" x14ac:dyDescent="0.3">
      <c r="A34" t="str">
        <f t="shared" si="0"/>
        <v>ADM-33</v>
      </c>
      <c r="B34" t="s">
        <v>558</v>
      </c>
      <c r="C34" t="s">
        <v>562</v>
      </c>
      <c r="D34" t="s">
        <v>563</v>
      </c>
      <c r="E34" t="s">
        <v>564</v>
      </c>
      <c r="F34" t="s">
        <v>565</v>
      </c>
      <c r="G34" s="9" t="s">
        <v>12</v>
      </c>
      <c r="H34" t="s">
        <v>446</v>
      </c>
      <c r="I34" t="s">
        <v>433</v>
      </c>
    </row>
    <row r="35" spans="1:9" x14ac:dyDescent="0.3">
      <c r="A35" t="str">
        <f t="shared" si="0"/>
        <v>ADM-34</v>
      </c>
      <c r="B35" t="s">
        <v>558</v>
      </c>
      <c r="C35" t="s">
        <v>566</v>
      </c>
      <c r="D35" t="s">
        <v>567</v>
      </c>
      <c r="E35" t="s">
        <v>568</v>
      </c>
      <c r="F35" t="s">
        <v>569</v>
      </c>
      <c r="G35" s="10" t="s">
        <v>492</v>
      </c>
      <c r="H35" t="s">
        <v>432</v>
      </c>
      <c r="I35" t="s">
        <v>433</v>
      </c>
    </row>
    <row r="36" spans="1:9" x14ac:dyDescent="0.3">
      <c r="A36" t="str">
        <f t="shared" si="0"/>
        <v>ADM-35</v>
      </c>
      <c r="B36" t="s">
        <v>570</v>
      </c>
      <c r="C36" t="s">
        <v>571</v>
      </c>
      <c r="D36" t="s">
        <v>572</v>
      </c>
      <c r="E36" t="s">
        <v>573</v>
      </c>
      <c r="F36" t="s">
        <v>574</v>
      </c>
      <c r="G36" s="9" t="s">
        <v>12</v>
      </c>
      <c r="H36" t="s">
        <v>432</v>
      </c>
      <c r="I36" t="s">
        <v>433</v>
      </c>
    </row>
    <row r="37" spans="1:9" x14ac:dyDescent="0.3">
      <c r="A37" t="str">
        <f t="shared" si="0"/>
        <v>ADM-36</v>
      </c>
      <c r="B37" t="s">
        <v>570</v>
      </c>
      <c r="C37" t="s">
        <v>571</v>
      </c>
      <c r="D37" t="s">
        <v>575</v>
      </c>
      <c r="E37" t="s">
        <v>576</v>
      </c>
      <c r="F37" t="s">
        <v>577</v>
      </c>
      <c r="G37" s="9" t="s">
        <v>12</v>
      </c>
      <c r="H37" t="s">
        <v>432</v>
      </c>
      <c r="I37" t="s">
        <v>433</v>
      </c>
    </row>
    <row r="38" spans="1:9" x14ac:dyDescent="0.3">
      <c r="A38" t="str">
        <f t="shared" si="0"/>
        <v>ADM-37</v>
      </c>
      <c r="B38" t="s">
        <v>570</v>
      </c>
      <c r="C38" t="s">
        <v>578</v>
      </c>
      <c r="D38" t="s">
        <v>579</v>
      </c>
      <c r="E38" t="s">
        <v>580</v>
      </c>
      <c r="F38" t="s">
        <v>581</v>
      </c>
      <c r="G38" s="9" t="s">
        <v>12</v>
      </c>
      <c r="H38" t="s">
        <v>446</v>
      </c>
      <c r="I38" t="s">
        <v>433</v>
      </c>
    </row>
    <row r="39" spans="1:9" x14ac:dyDescent="0.3">
      <c r="A39" t="str">
        <f t="shared" si="0"/>
        <v>ADM-38</v>
      </c>
      <c r="B39" t="s">
        <v>582</v>
      </c>
      <c r="C39" t="s">
        <v>583</v>
      </c>
      <c r="D39" t="s">
        <v>584</v>
      </c>
      <c r="E39" t="s">
        <v>585</v>
      </c>
      <c r="F39" t="s">
        <v>586</v>
      </c>
      <c r="G39" s="9" t="s">
        <v>12</v>
      </c>
      <c r="H39" t="s">
        <v>432</v>
      </c>
      <c r="I39" t="s">
        <v>433</v>
      </c>
    </row>
    <row r="40" spans="1:9" x14ac:dyDescent="0.3">
      <c r="A40" t="str">
        <f t="shared" si="0"/>
        <v>ADM-39</v>
      </c>
      <c r="B40" t="s">
        <v>582</v>
      </c>
      <c r="C40" t="s">
        <v>587</v>
      </c>
      <c r="D40" t="s">
        <v>588</v>
      </c>
      <c r="E40" t="s">
        <v>589</v>
      </c>
      <c r="F40" t="s">
        <v>590</v>
      </c>
      <c r="G40" s="10" t="s">
        <v>492</v>
      </c>
      <c r="H40" t="s">
        <v>432</v>
      </c>
      <c r="I40" t="s">
        <v>433</v>
      </c>
    </row>
    <row r="41" spans="1:9" x14ac:dyDescent="0.3">
      <c r="A41" t="str">
        <f t="shared" si="0"/>
        <v>ADM-40</v>
      </c>
      <c r="B41" t="s">
        <v>582</v>
      </c>
      <c r="C41" t="s">
        <v>591</v>
      </c>
      <c r="D41" t="s">
        <v>592</v>
      </c>
      <c r="E41" t="s">
        <v>593</v>
      </c>
      <c r="F41" t="s">
        <v>594</v>
      </c>
      <c r="G41" s="10" t="s">
        <v>492</v>
      </c>
      <c r="H41" t="s">
        <v>432</v>
      </c>
      <c r="I41" t="s">
        <v>433</v>
      </c>
    </row>
    <row r="42" spans="1:9" x14ac:dyDescent="0.3">
      <c r="A42" t="str">
        <f t="shared" si="0"/>
        <v>ADM-41</v>
      </c>
      <c r="B42" t="s">
        <v>582</v>
      </c>
      <c r="C42" t="s">
        <v>595</v>
      </c>
      <c r="D42" t="s">
        <v>596</v>
      </c>
      <c r="E42" t="s">
        <v>597</v>
      </c>
      <c r="F42" t="s">
        <v>598</v>
      </c>
      <c r="G42" s="10" t="s">
        <v>492</v>
      </c>
      <c r="H42" t="s">
        <v>446</v>
      </c>
      <c r="I42" t="s">
        <v>433</v>
      </c>
    </row>
    <row r="43" spans="1:9" x14ac:dyDescent="0.3">
      <c r="A43" t="str">
        <f t="shared" si="0"/>
        <v>ADM-42</v>
      </c>
      <c r="B43" t="s">
        <v>582</v>
      </c>
      <c r="C43" t="s">
        <v>599</v>
      </c>
      <c r="D43" t="s">
        <v>600</v>
      </c>
      <c r="E43" t="s">
        <v>601</v>
      </c>
      <c r="F43" t="s">
        <v>602</v>
      </c>
      <c r="G43" s="9" t="s">
        <v>12</v>
      </c>
      <c r="H43" t="s">
        <v>432</v>
      </c>
      <c r="I43" t="s">
        <v>433</v>
      </c>
    </row>
    <row r="44" spans="1:9" x14ac:dyDescent="0.3">
      <c r="A44" t="str">
        <f t="shared" si="0"/>
        <v>ADM-43</v>
      </c>
      <c r="B44" t="s">
        <v>582</v>
      </c>
      <c r="C44" t="s">
        <v>583</v>
      </c>
      <c r="D44" t="s">
        <v>603</v>
      </c>
      <c r="E44" t="s">
        <v>604</v>
      </c>
      <c r="F44" t="s">
        <v>605</v>
      </c>
      <c r="G44" s="9" t="s">
        <v>12</v>
      </c>
      <c r="H44" t="s">
        <v>446</v>
      </c>
      <c r="I44" t="s">
        <v>433</v>
      </c>
    </row>
    <row r="45" spans="1:9" x14ac:dyDescent="0.3">
      <c r="A45" t="str">
        <f t="shared" si="0"/>
        <v>ADM-44</v>
      </c>
      <c r="B45" t="s">
        <v>606</v>
      </c>
      <c r="C45" t="s">
        <v>448</v>
      </c>
      <c r="D45" t="s">
        <v>607</v>
      </c>
      <c r="E45" t="s">
        <v>608</v>
      </c>
      <c r="F45" t="s">
        <v>609</v>
      </c>
      <c r="G45" s="9" t="s">
        <v>12</v>
      </c>
      <c r="H45" t="s">
        <v>446</v>
      </c>
      <c r="I45" t="s">
        <v>433</v>
      </c>
    </row>
    <row r="46" spans="1:9" x14ac:dyDescent="0.3">
      <c r="A46" t="str">
        <f t="shared" si="0"/>
        <v>ADM-45</v>
      </c>
      <c r="B46" t="s">
        <v>606</v>
      </c>
      <c r="C46" t="s">
        <v>610</v>
      </c>
      <c r="D46" t="s">
        <v>611</v>
      </c>
      <c r="E46" t="s">
        <v>612</v>
      </c>
      <c r="F46" t="s">
        <v>613</v>
      </c>
      <c r="G46" s="9" t="s">
        <v>12</v>
      </c>
      <c r="H46" t="s">
        <v>432</v>
      </c>
      <c r="I46" t="s">
        <v>433</v>
      </c>
    </row>
    <row r="47" spans="1:9" x14ac:dyDescent="0.3">
      <c r="A47" t="str">
        <f t="shared" si="0"/>
        <v>ADM-46</v>
      </c>
      <c r="B47" t="s">
        <v>606</v>
      </c>
      <c r="C47" t="s">
        <v>614</v>
      </c>
      <c r="D47" t="s">
        <v>615</v>
      </c>
      <c r="E47" t="s">
        <v>616</v>
      </c>
      <c r="F47" t="s">
        <v>617</v>
      </c>
      <c r="G47" s="10" t="s">
        <v>492</v>
      </c>
      <c r="H47" t="s">
        <v>432</v>
      </c>
      <c r="I47" t="s">
        <v>433</v>
      </c>
    </row>
    <row r="48" spans="1:9" x14ac:dyDescent="0.3">
      <c r="A48" t="str">
        <f t="shared" si="0"/>
        <v>ADM-47</v>
      </c>
      <c r="B48" t="s">
        <v>606</v>
      </c>
      <c r="C48" t="s">
        <v>618</v>
      </c>
      <c r="D48" t="s">
        <v>619</v>
      </c>
      <c r="E48" t="s">
        <v>620</v>
      </c>
      <c r="F48" t="s">
        <v>621</v>
      </c>
      <c r="G48" s="9" t="s">
        <v>12</v>
      </c>
      <c r="H48" t="s">
        <v>446</v>
      </c>
      <c r="I48" t="s">
        <v>433</v>
      </c>
    </row>
    <row r="49" spans="1:9" x14ac:dyDescent="0.3">
      <c r="A49" t="str">
        <f t="shared" si="0"/>
        <v>ADM-48</v>
      </c>
      <c r="B49" t="s">
        <v>606</v>
      </c>
      <c r="C49" t="s">
        <v>622</v>
      </c>
      <c r="D49" t="s">
        <v>623</v>
      </c>
      <c r="E49" t="s">
        <v>624</v>
      </c>
      <c r="F49" t="s">
        <v>625</v>
      </c>
      <c r="G49" s="10" t="s">
        <v>492</v>
      </c>
      <c r="H49" t="s">
        <v>446</v>
      </c>
      <c r="I49" t="s">
        <v>433</v>
      </c>
    </row>
    <row r="50" spans="1:9" x14ac:dyDescent="0.3">
      <c r="A50" t="str">
        <f t="shared" si="0"/>
        <v>ADM-49</v>
      </c>
      <c r="B50" t="s">
        <v>626</v>
      </c>
      <c r="C50" t="s">
        <v>627</v>
      </c>
      <c r="D50" t="s">
        <v>628</v>
      </c>
      <c r="E50" t="s">
        <v>629</v>
      </c>
      <c r="F50" t="s">
        <v>630</v>
      </c>
      <c r="G50" s="9" t="s">
        <v>12</v>
      </c>
      <c r="H50" t="s">
        <v>446</v>
      </c>
      <c r="I50" t="s">
        <v>433</v>
      </c>
    </row>
    <row r="51" spans="1:9" x14ac:dyDescent="0.3">
      <c r="A51" t="str">
        <f t="shared" si="0"/>
        <v>ADM-50</v>
      </c>
      <c r="B51" t="s">
        <v>626</v>
      </c>
      <c r="C51" t="s">
        <v>627</v>
      </c>
      <c r="D51" t="s">
        <v>631</v>
      </c>
      <c r="E51" t="s">
        <v>632</v>
      </c>
      <c r="F51" t="s">
        <v>633</v>
      </c>
      <c r="G51" s="9" t="s">
        <v>12</v>
      </c>
      <c r="H51" t="s">
        <v>446</v>
      </c>
      <c r="I51" t="s">
        <v>433</v>
      </c>
    </row>
    <row r="52" spans="1:9" x14ac:dyDescent="0.3">
      <c r="A52" t="str">
        <f t="shared" si="0"/>
        <v>ADM-51</v>
      </c>
      <c r="B52" t="s">
        <v>626</v>
      </c>
      <c r="C52" t="s">
        <v>634</v>
      </c>
      <c r="D52" t="s">
        <v>635</v>
      </c>
      <c r="E52" t="s">
        <v>636</v>
      </c>
      <c r="F52" t="s">
        <v>637</v>
      </c>
      <c r="G52" s="9" t="s">
        <v>12</v>
      </c>
      <c r="H52" t="s">
        <v>446</v>
      </c>
      <c r="I52" t="s">
        <v>433</v>
      </c>
    </row>
    <row r="53" spans="1:9" x14ac:dyDescent="0.3">
      <c r="A53" t="str">
        <f t="shared" si="0"/>
        <v>ADM-52</v>
      </c>
      <c r="B53" t="s">
        <v>626</v>
      </c>
      <c r="C53" t="s">
        <v>638</v>
      </c>
      <c r="D53" t="s">
        <v>639</v>
      </c>
      <c r="E53" t="s">
        <v>640</v>
      </c>
      <c r="F53" t="s">
        <v>641</v>
      </c>
      <c r="G53" s="9" t="s">
        <v>12</v>
      </c>
      <c r="H53" t="s">
        <v>642</v>
      </c>
      <c r="I53" t="s">
        <v>433</v>
      </c>
    </row>
    <row r="54" spans="1:9" x14ac:dyDescent="0.3">
      <c r="A54" t="str">
        <f t="shared" si="0"/>
        <v>ADM-53</v>
      </c>
      <c r="B54" t="s">
        <v>643</v>
      </c>
      <c r="C54" t="s">
        <v>448</v>
      </c>
      <c r="D54" t="s">
        <v>644</v>
      </c>
      <c r="E54" t="s">
        <v>645</v>
      </c>
      <c r="F54" t="s">
        <v>646</v>
      </c>
      <c r="G54" s="9" t="s">
        <v>12</v>
      </c>
      <c r="H54" t="s">
        <v>432</v>
      </c>
      <c r="I54" t="s">
        <v>433</v>
      </c>
    </row>
    <row r="55" spans="1:9" x14ac:dyDescent="0.3">
      <c r="A55" t="str">
        <f t="shared" si="0"/>
        <v>ADM-54</v>
      </c>
      <c r="B55" t="s">
        <v>643</v>
      </c>
      <c r="C55" t="s">
        <v>647</v>
      </c>
      <c r="D55" t="s">
        <v>648</v>
      </c>
      <c r="E55" t="s">
        <v>649</v>
      </c>
      <c r="F55" t="s">
        <v>650</v>
      </c>
      <c r="G55" s="9" t="s">
        <v>12</v>
      </c>
      <c r="H55" t="s">
        <v>432</v>
      </c>
      <c r="I55" t="s">
        <v>433</v>
      </c>
    </row>
    <row r="56" spans="1:9" x14ac:dyDescent="0.3">
      <c r="A56" t="str">
        <f t="shared" si="0"/>
        <v>ADM-55</v>
      </c>
      <c r="B56" t="s">
        <v>643</v>
      </c>
      <c r="C56" t="s">
        <v>442</v>
      </c>
      <c r="D56" t="s">
        <v>651</v>
      </c>
      <c r="E56" t="s">
        <v>652</v>
      </c>
      <c r="F56" t="s">
        <v>653</v>
      </c>
      <c r="G56" s="9" t="s">
        <v>12</v>
      </c>
      <c r="H56" t="s">
        <v>446</v>
      </c>
      <c r="I56" t="s">
        <v>433</v>
      </c>
    </row>
    <row r="57" spans="1:9" x14ac:dyDescent="0.3">
      <c r="A57" t="str">
        <f t="shared" si="0"/>
        <v>ADM-56</v>
      </c>
      <c r="B57" t="s">
        <v>643</v>
      </c>
      <c r="C57" t="s">
        <v>654</v>
      </c>
      <c r="D57" t="s">
        <v>655</v>
      </c>
      <c r="E57" t="s">
        <v>656</v>
      </c>
      <c r="F57" t="s">
        <v>657</v>
      </c>
      <c r="G57" s="9" t="s">
        <v>12</v>
      </c>
      <c r="H57" t="s">
        <v>446</v>
      </c>
      <c r="I57" t="s">
        <v>433</v>
      </c>
    </row>
    <row r="58" spans="1:9" x14ac:dyDescent="0.3">
      <c r="A58" t="str">
        <f t="shared" si="0"/>
        <v>ADM-57</v>
      </c>
      <c r="B58" t="s">
        <v>643</v>
      </c>
      <c r="C58" t="s">
        <v>658</v>
      </c>
      <c r="D58" t="s">
        <v>659</v>
      </c>
      <c r="E58" t="s">
        <v>660</v>
      </c>
      <c r="F58" t="s">
        <v>661</v>
      </c>
      <c r="G58" s="9" t="s">
        <v>12</v>
      </c>
      <c r="H58" t="s">
        <v>446</v>
      </c>
      <c r="I58" t="s">
        <v>433</v>
      </c>
    </row>
    <row r="59" spans="1:9" x14ac:dyDescent="0.3">
      <c r="A59" t="str">
        <f t="shared" si="0"/>
        <v>ADM-58</v>
      </c>
      <c r="B59" t="s">
        <v>662</v>
      </c>
      <c r="C59" t="s">
        <v>663</v>
      </c>
      <c r="D59" t="s">
        <v>664</v>
      </c>
      <c r="E59" t="s">
        <v>665</v>
      </c>
      <c r="F59" t="s">
        <v>666</v>
      </c>
      <c r="G59" s="9" t="s">
        <v>12</v>
      </c>
      <c r="H59" t="s">
        <v>432</v>
      </c>
      <c r="I59" t="s">
        <v>433</v>
      </c>
    </row>
    <row r="60" spans="1:9" x14ac:dyDescent="0.3">
      <c r="A60" t="str">
        <f t="shared" si="0"/>
        <v>ADM-59</v>
      </c>
      <c r="B60" t="s">
        <v>662</v>
      </c>
      <c r="C60" t="s">
        <v>663</v>
      </c>
      <c r="D60" t="s">
        <v>667</v>
      </c>
      <c r="E60" t="s">
        <v>668</v>
      </c>
      <c r="F60" t="s">
        <v>669</v>
      </c>
      <c r="G60" s="9" t="s">
        <v>12</v>
      </c>
      <c r="H60" t="s">
        <v>432</v>
      </c>
      <c r="I60" t="s">
        <v>433</v>
      </c>
    </row>
    <row r="61" spans="1:9" x14ac:dyDescent="0.3">
      <c r="A61" t="str">
        <f t="shared" si="0"/>
        <v>ADM-60</v>
      </c>
      <c r="B61" t="s">
        <v>662</v>
      </c>
      <c r="C61" t="s">
        <v>670</v>
      </c>
      <c r="D61" t="s">
        <v>469</v>
      </c>
      <c r="E61" t="s">
        <v>671</v>
      </c>
      <c r="F61" t="s">
        <v>672</v>
      </c>
      <c r="G61" s="9" t="s">
        <v>12</v>
      </c>
      <c r="H61" t="s">
        <v>446</v>
      </c>
      <c r="I61" t="s">
        <v>433</v>
      </c>
    </row>
    <row r="62" spans="1:9" x14ac:dyDescent="0.3">
      <c r="A62" t="str">
        <f t="shared" si="0"/>
        <v>ADM-61</v>
      </c>
      <c r="B62" t="s">
        <v>662</v>
      </c>
      <c r="C62" t="s">
        <v>673</v>
      </c>
      <c r="D62" t="s">
        <v>674</v>
      </c>
      <c r="E62" t="s">
        <v>675</v>
      </c>
      <c r="F62" t="s">
        <v>676</v>
      </c>
      <c r="G62" s="9" t="s">
        <v>12</v>
      </c>
      <c r="H62" t="s">
        <v>642</v>
      </c>
      <c r="I62" t="s">
        <v>433</v>
      </c>
    </row>
    <row r="63" spans="1:9" x14ac:dyDescent="0.3">
      <c r="A63" t="str">
        <f t="shared" si="0"/>
        <v>ADM-62</v>
      </c>
      <c r="B63" t="s">
        <v>416</v>
      </c>
      <c r="C63" t="s">
        <v>677</v>
      </c>
      <c r="D63" t="s">
        <v>678</v>
      </c>
      <c r="E63" t="s">
        <v>679</v>
      </c>
      <c r="F63" t="s">
        <v>680</v>
      </c>
      <c r="G63" s="9" t="s">
        <v>12</v>
      </c>
      <c r="H63" t="s">
        <v>432</v>
      </c>
      <c r="I63" t="s">
        <v>433</v>
      </c>
    </row>
    <row r="64" spans="1:9" x14ac:dyDescent="0.3">
      <c r="A64" t="str">
        <f t="shared" si="0"/>
        <v>ADM-63</v>
      </c>
      <c r="B64" t="s">
        <v>416</v>
      </c>
      <c r="C64" t="s">
        <v>681</v>
      </c>
      <c r="D64" t="s">
        <v>682</v>
      </c>
      <c r="E64" t="s">
        <v>683</v>
      </c>
      <c r="F64" t="s">
        <v>684</v>
      </c>
      <c r="G64" s="10" t="s">
        <v>492</v>
      </c>
      <c r="H64" t="s">
        <v>432</v>
      </c>
      <c r="I64" t="s">
        <v>433</v>
      </c>
    </row>
    <row r="65" spans="1:9" x14ac:dyDescent="0.3">
      <c r="A65" t="str">
        <f t="shared" si="0"/>
        <v>ADM-64</v>
      </c>
      <c r="B65" t="s">
        <v>416</v>
      </c>
      <c r="C65" t="s">
        <v>685</v>
      </c>
      <c r="D65" t="s">
        <v>686</v>
      </c>
      <c r="E65" t="s">
        <v>687</v>
      </c>
      <c r="F65" t="s">
        <v>688</v>
      </c>
      <c r="G65" s="10" t="s">
        <v>492</v>
      </c>
      <c r="H65" t="s">
        <v>432</v>
      </c>
      <c r="I65" t="s">
        <v>433</v>
      </c>
    </row>
    <row r="66" spans="1:9" x14ac:dyDescent="0.3">
      <c r="A66" t="str">
        <f t="shared" si="0"/>
        <v>ADM-65</v>
      </c>
      <c r="B66" t="s">
        <v>416</v>
      </c>
      <c r="C66" t="s">
        <v>677</v>
      </c>
      <c r="D66" t="s">
        <v>689</v>
      </c>
      <c r="E66" t="s">
        <v>690</v>
      </c>
      <c r="F66" t="s">
        <v>691</v>
      </c>
      <c r="G66" s="9" t="s">
        <v>12</v>
      </c>
      <c r="H66" t="s">
        <v>446</v>
      </c>
      <c r="I66" t="s">
        <v>433</v>
      </c>
    </row>
    <row r="67" spans="1:9" x14ac:dyDescent="0.3">
      <c r="A67" t="str">
        <f t="shared" ref="A67:A71" si="1">"ADM-"&amp;IF(B67="","",TEXT(ROW()-1,"00"))</f>
        <v>ADM-66</v>
      </c>
      <c r="B67" t="s">
        <v>416</v>
      </c>
      <c r="C67" t="s">
        <v>692</v>
      </c>
      <c r="D67" t="s">
        <v>693</v>
      </c>
      <c r="E67" t="s">
        <v>694</v>
      </c>
      <c r="F67" t="s">
        <v>695</v>
      </c>
      <c r="G67" s="9" t="s">
        <v>12</v>
      </c>
      <c r="H67" t="s">
        <v>446</v>
      </c>
      <c r="I67" t="s">
        <v>433</v>
      </c>
    </row>
    <row r="68" spans="1:9" x14ac:dyDescent="0.3">
      <c r="A68" t="str">
        <f t="shared" si="1"/>
        <v>ADM-67</v>
      </c>
      <c r="B68" t="s">
        <v>696</v>
      </c>
      <c r="C68" t="s">
        <v>464</v>
      </c>
      <c r="D68" t="s">
        <v>697</v>
      </c>
      <c r="E68" t="s">
        <v>698</v>
      </c>
      <c r="F68" t="s">
        <v>699</v>
      </c>
      <c r="G68" s="9" t="s">
        <v>12</v>
      </c>
      <c r="H68" t="s">
        <v>432</v>
      </c>
      <c r="I68" t="s">
        <v>433</v>
      </c>
    </row>
    <row r="69" spans="1:9" x14ac:dyDescent="0.3">
      <c r="A69" t="str">
        <f t="shared" si="1"/>
        <v>ADM-68</v>
      </c>
      <c r="B69" t="s">
        <v>700</v>
      </c>
      <c r="C69" t="s">
        <v>701</v>
      </c>
      <c r="D69" t="s">
        <v>702</v>
      </c>
      <c r="E69" t="s">
        <v>703</v>
      </c>
      <c r="F69" t="s">
        <v>704</v>
      </c>
      <c r="G69" s="9" t="s">
        <v>12</v>
      </c>
      <c r="H69" t="s">
        <v>432</v>
      </c>
      <c r="I69" t="s">
        <v>433</v>
      </c>
    </row>
    <row r="70" spans="1:9" x14ac:dyDescent="0.3">
      <c r="A70" t="str">
        <f t="shared" si="1"/>
        <v>ADM-69</v>
      </c>
      <c r="B70" t="s">
        <v>700</v>
      </c>
      <c r="C70" t="s">
        <v>701</v>
      </c>
      <c r="D70" t="s">
        <v>705</v>
      </c>
      <c r="E70" t="s">
        <v>706</v>
      </c>
      <c r="F70" t="s">
        <v>707</v>
      </c>
      <c r="G70" s="9" t="s">
        <v>12</v>
      </c>
      <c r="H70" t="s">
        <v>446</v>
      </c>
      <c r="I70" t="s">
        <v>433</v>
      </c>
    </row>
    <row r="71" spans="1:9" x14ac:dyDescent="0.3">
      <c r="A71" t="str">
        <f t="shared" si="1"/>
        <v>ADM-70</v>
      </c>
      <c r="B71" t="s">
        <v>700</v>
      </c>
      <c r="C71" t="s">
        <v>708</v>
      </c>
      <c r="D71" t="s">
        <v>709</v>
      </c>
      <c r="E71" t="s">
        <v>710</v>
      </c>
      <c r="F71" t="s">
        <v>711</v>
      </c>
      <c r="G71" s="10" t="s">
        <v>492</v>
      </c>
      <c r="H71" t="s">
        <v>432</v>
      </c>
      <c r="I71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A695-2109-4614-B3B4-3A07F8D8E8C6}">
  <dimension ref="A1:I67"/>
  <sheetViews>
    <sheetView zoomScaleNormal="100" workbookViewId="0">
      <selection activeCell="A3" sqref="A3"/>
    </sheetView>
  </sheetViews>
  <sheetFormatPr defaultRowHeight="14.4" x14ac:dyDescent="0.3"/>
  <cols>
    <col min="1" max="1" width="8.33203125" bestFit="1" customWidth="1"/>
    <col min="2" max="2" width="16.109375" bestFit="1" customWidth="1"/>
    <col min="3" max="3" width="14.44140625" hidden="1" customWidth="1"/>
    <col min="4" max="4" width="34.5546875" bestFit="1" customWidth="1"/>
    <col min="5" max="5" width="53" customWidth="1"/>
    <col min="6" max="6" width="49.5546875" bestFit="1" customWidth="1"/>
    <col min="7" max="7" width="8.33203125" customWidth="1"/>
    <col min="8" max="8" width="10.21875" customWidth="1"/>
    <col min="9" max="9" width="9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tr">
        <f>"CUS-"&amp;IF(B2="","",TEXT(ROW()-1,"00"))</f>
        <v>CUS-01</v>
      </c>
      <c r="B2" t="s">
        <v>112</v>
      </c>
      <c r="C2" t="s">
        <v>10</v>
      </c>
      <c r="D2" t="s">
        <v>113</v>
      </c>
      <c r="E2" t="s">
        <v>114</v>
      </c>
      <c r="F2" t="s">
        <v>115</v>
      </c>
      <c r="G2" s="4" t="s">
        <v>12</v>
      </c>
      <c r="H2" t="s">
        <v>15</v>
      </c>
      <c r="I2" t="s">
        <v>14</v>
      </c>
    </row>
    <row r="3" spans="1:9" x14ac:dyDescent="0.3">
      <c r="A3" t="str">
        <f>"CUS-"&amp;IF(B3="","",TEXT(ROW()-1,"00"))</f>
        <v>CUS-02</v>
      </c>
      <c r="B3" t="s">
        <v>112</v>
      </c>
      <c r="C3" t="s">
        <v>10</v>
      </c>
      <c r="D3" t="s">
        <v>116</v>
      </c>
      <c r="E3" t="s">
        <v>117</v>
      </c>
      <c r="F3" t="s">
        <v>118</v>
      </c>
      <c r="G3" s="4" t="s">
        <v>12</v>
      </c>
      <c r="H3" t="s">
        <v>13</v>
      </c>
      <c r="I3" t="s">
        <v>14</v>
      </c>
    </row>
    <row r="4" spans="1:9" x14ac:dyDescent="0.3">
      <c r="A4" t="str">
        <f t="shared" ref="A4:A62" si="0">"CUS-"&amp;IF(B4="","",TEXT(ROW()-1,"00"))</f>
        <v>CUS-03</v>
      </c>
      <c r="B4" t="s">
        <v>112</v>
      </c>
      <c r="C4" t="s">
        <v>10</v>
      </c>
      <c r="D4" t="s">
        <v>119</v>
      </c>
      <c r="E4" t="s">
        <v>120</v>
      </c>
      <c r="F4" t="s">
        <v>121</v>
      </c>
      <c r="G4" s="4" t="s">
        <v>12</v>
      </c>
      <c r="H4" t="s">
        <v>13</v>
      </c>
      <c r="I4" t="s">
        <v>14</v>
      </c>
    </row>
    <row r="5" spans="1:9" x14ac:dyDescent="0.3">
      <c r="A5" t="str">
        <f t="shared" si="0"/>
        <v>CUS-04</v>
      </c>
      <c r="B5" t="s">
        <v>112</v>
      </c>
      <c r="C5" t="s">
        <v>10</v>
      </c>
      <c r="D5" t="s">
        <v>122</v>
      </c>
      <c r="E5" t="s">
        <v>123</v>
      </c>
      <c r="F5" t="s">
        <v>124</v>
      </c>
      <c r="G5" s="4" t="s">
        <v>12</v>
      </c>
      <c r="H5" t="s">
        <v>15</v>
      </c>
      <c r="I5" t="s">
        <v>14</v>
      </c>
    </row>
    <row r="6" spans="1:9" x14ac:dyDescent="0.3">
      <c r="A6" t="str">
        <f t="shared" si="0"/>
        <v>CUS-05</v>
      </c>
      <c r="B6" t="s">
        <v>112</v>
      </c>
      <c r="C6" t="s">
        <v>10</v>
      </c>
      <c r="D6" t="s">
        <v>125</v>
      </c>
      <c r="E6" t="s">
        <v>126</v>
      </c>
      <c r="F6" t="s">
        <v>127</v>
      </c>
      <c r="G6" s="4" t="s">
        <v>12</v>
      </c>
      <c r="H6" t="s">
        <v>13</v>
      </c>
      <c r="I6" t="s">
        <v>14</v>
      </c>
    </row>
    <row r="7" spans="1:9" x14ac:dyDescent="0.3">
      <c r="A7" t="str">
        <f t="shared" si="0"/>
        <v>CUS-06</v>
      </c>
      <c r="B7" t="s">
        <v>112</v>
      </c>
      <c r="C7" t="s">
        <v>10</v>
      </c>
      <c r="D7" t="s">
        <v>128</v>
      </c>
      <c r="E7" t="s">
        <v>129</v>
      </c>
      <c r="F7" t="s">
        <v>130</v>
      </c>
      <c r="G7" s="4" t="s">
        <v>12</v>
      </c>
      <c r="H7" t="s">
        <v>15</v>
      </c>
      <c r="I7" t="s">
        <v>14</v>
      </c>
    </row>
    <row r="8" spans="1:9" x14ac:dyDescent="0.3">
      <c r="A8" t="str">
        <f t="shared" si="0"/>
        <v>CUS-07</v>
      </c>
      <c r="B8" t="s">
        <v>112</v>
      </c>
      <c r="C8" t="s">
        <v>10</v>
      </c>
      <c r="D8" t="s">
        <v>131</v>
      </c>
      <c r="E8" t="s">
        <v>132</v>
      </c>
      <c r="F8" t="s">
        <v>133</v>
      </c>
      <c r="G8" s="4" t="s">
        <v>12</v>
      </c>
      <c r="H8" t="s">
        <v>15</v>
      </c>
      <c r="I8" t="s">
        <v>14</v>
      </c>
    </row>
    <row r="9" spans="1:9" x14ac:dyDescent="0.3">
      <c r="A9" t="str">
        <f t="shared" si="0"/>
        <v>CUS-08</v>
      </c>
      <c r="B9" t="s">
        <v>112</v>
      </c>
      <c r="C9" t="s">
        <v>10</v>
      </c>
      <c r="D9" t="s">
        <v>134</v>
      </c>
      <c r="E9" t="s">
        <v>135</v>
      </c>
      <c r="F9" t="s">
        <v>136</v>
      </c>
      <c r="G9" s="4" t="s">
        <v>12</v>
      </c>
      <c r="H9" t="s">
        <v>13</v>
      </c>
      <c r="I9" t="s">
        <v>14</v>
      </c>
    </row>
    <row r="10" spans="1:9" x14ac:dyDescent="0.3">
      <c r="A10" t="str">
        <f t="shared" si="0"/>
        <v>CUS-09</v>
      </c>
      <c r="B10" t="s">
        <v>112</v>
      </c>
      <c r="C10" t="s">
        <v>10</v>
      </c>
      <c r="D10" t="s">
        <v>137</v>
      </c>
      <c r="E10" t="s">
        <v>138</v>
      </c>
      <c r="F10" t="s">
        <v>139</v>
      </c>
      <c r="G10" s="4" t="s">
        <v>12</v>
      </c>
      <c r="H10" t="s">
        <v>15</v>
      </c>
      <c r="I10" t="s">
        <v>14</v>
      </c>
    </row>
    <row r="11" spans="1:9" x14ac:dyDescent="0.3">
      <c r="A11" t="str">
        <f t="shared" si="0"/>
        <v>CUS-10</v>
      </c>
      <c r="B11" t="s">
        <v>112</v>
      </c>
      <c r="C11" t="s">
        <v>10</v>
      </c>
      <c r="D11" t="s">
        <v>140</v>
      </c>
      <c r="E11" t="s">
        <v>141</v>
      </c>
      <c r="F11" t="s">
        <v>142</v>
      </c>
      <c r="G11" s="4" t="s">
        <v>12</v>
      </c>
      <c r="H11" t="s">
        <v>15</v>
      </c>
      <c r="I11" t="s">
        <v>14</v>
      </c>
    </row>
    <row r="12" spans="1:9" x14ac:dyDescent="0.3">
      <c r="A12" t="str">
        <f t="shared" si="0"/>
        <v>CUS-11</v>
      </c>
      <c r="B12" t="s">
        <v>112</v>
      </c>
      <c r="C12" t="s">
        <v>10</v>
      </c>
      <c r="D12" t="s">
        <v>143</v>
      </c>
      <c r="E12" t="s">
        <v>144</v>
      </c>
      <c r="F12" t="s">
        <v>145</v>
      </c>
      <c r="G12" s="4" t="s">
        <v>12</v>
      </c>
      <c r="H12" t="s">
        <v>15</v>
      </c>
      <c r="I12" t="s">
        <v>14</v>
      </c>
    </row>
    <row r="13" spans="1:9" x14ac:dyDescent="0.3">
      <c r="A13" t="str">
        <f t="shared" si="0"/>
        <v>CUS-12</v>
      </c>
      <c r="B13" t="s">
        <v>112</v>
      </c>
      <c r="C13" t="s">
        <v>10</v>
      </c>
      <c r="D13" t="s">
        <v>146</v>
      </c>
      <c r="E13" t="s">
        <v>147</v>
      </c>
      <c r="F13" t="s">
        <v>148</v>
      </c>
      <c r="G13" s="4" t="s">
        <v>12</v>
      </c>
      <c r="H13" t="s">
        <v>15</v>
      </c>
      <c r="I13" t="s">
        <v>14</v>
      </c>
    </row>
    <row r="14" spans="1:9" x14ac:dyDescent="0.3">
      <c r="A14" t="str">
        <f t="shared" si="0"/>
        <v>CUS-13</v>
      </c>
      <c r="B14" t="s">
        <v>112</v>
      </c>
      <c r="C14" t="s">
        <v>10</v>
      </c>
      <c r="D14" t="s">
        <v>149</v>
      </c>
      <c r="E14" t="s">
        <v>150</v>
      </c>
      <c r="F14" t="s">
        <v>151</v>
      </c>
      <c r="G14" s="4" t="s">
        <v>12</v>
      </c>
      <c r="H14" t="s">
        <v>15</v>
      </c>
      <c r="I14" t="s">
        <v>14</v>
      </c>
    </row>
    <row r="15" spans="1:9" x14ac:dyDescent="0.3">
      <c r="A15" t="str">
        <f t="shared" si="0"/>
        <v>CUS-14</v>
      </c>
      <c r="B15" t="s">
        <v>112</v>
      </c>
      <c r="C15" t="s">
        <v>10</v>
      </c>
      <c r="D15" t="s">
        <v>152</v>
      </c>
      <c r="E15" t="s">
        <v>153</v>
      </c>
      <c r="F15" t="s">
        <v>154</v>
      </c>
      <c r="G15" s="4" t="s">
        <v>12</v>
      </c>
      <c r="H15" t="s">
        <v>15</v>
      </c>
      <c r="I15" t="s">
        <v>14</v>
      </c>
    </row>
    <row r="16" spans="1:9" x14ac:dyDescent="0.3">
      <c r="A16" t="str">
        <f t="shared" si="0"/>
        <v>CUS-15</v>
      </c>
      <c r="B16" t="s">
        <v>112</v>
      </c>
      <c r="C16" t="s">
        <v>10</v>
      </c>
      <c r="D16" t="s">
        <v>155</v>
      </c>
      <c r="E16" t="s">
        <v>156</v>
      </c>
      <c r="F16" t="s">
        <v>157</v>
      </c>
      <c r="G16" s="4" t="s">
        <v>12</v>
      </c>
      <c r="H16" t="s">
        <v>15</v>
      </c>
      <c r="I16" t="s">
        <v>14</v>
      </c>
    </row>
    <row r="17" spans="1:9" x14ac:dyDescent="0.3">
      <c r="A17" t="str">
        <f t="shared" si="0"/>
        <v>CUS-16</v>
      </c>
      <c r="B17" t="s">
        <v>112</v>
      </c>
      <c r="C17" t="s">
        <v>10</v>
      </c>
      <c r="D17" t="s">
        <v>158</v>
      </c>
      <c r="E17" t="s">
        <v>159</v>
      </c>
      <c r="F17" t="s">
        <v>160</v>
      </c>
      <c r="G17" s="4" t="s">
        <v>12</v>
      </c>
      <c r="H17" t="s">
        <v>13</v>
      </c>
      <c r="I17" t="s">
        <v>14</v>
      </c>
    </row>
    <row r="18" spans="1:9" x14ac:dyDescent="0.3">
      <c r="A18" t="str">
        <f t="shared" si="0"/>
        <v>CUS-17</v>
      </c>
      <c r="B18" t="s">
        <v>112</v>
      </c>
      <c r="C18" t="s">
        <v>10</v>
      </c>
      <c r="D18" t="s">
        <v>161</v>
      </c>
      <c r="E18" t="s">
        <v>162</v>
      </c>
      <c r="F18" t="s">
        <v>163</v>
      </c>
      <c r="G18" s="4" t="s">
        <v>12</v>
      </c>
      <c r="H18" t="s">
        <v>13</v>
      </c>
      <c r="I18" t="s">
        <v>14</v>
      </c>
    </row>
    <row r="19" spans="1:9" x14ac:dyDescent="0.3">
      <c r="A19" t="str">
        <f t="shared" si="0"/>
        <v>CUS-18</v>
      </c>
      <c r="B19" t="s">
        <v>112</v>
      </c>
      <c r="C19" t="s">
        <v>10</v>
      </c>
      <c r="D19" t="s">
        <v>164</v>
      </c>
      <c r="E19" t="s">
        <v>165</v>
      </c>
      <c r="F19" t="s">
        <v>166</v>
      </c>
      <c r="G19" s="4" t="s">
        <v>12</v>
      </c>
      <c r="H19" t="s">
        <v>100</v>
      </c>
      <c r="I19" t="s">
        <v>14</v>
      </c>
    </row>
    <row r="20" spans="1:9" x14ac:dyDescent="0.3">
      <c r="A20" t="str">
        <f t="shared" si="0"/>
        <v>CUS-19</v>
      </c>
      <c r="B20" t="s">
        <v>112</v>
      </c>
      <c r="C20" t="s">
        <v>10</v>
      </c>
      <c r="D20" t="s">
        <v>167</v>
      </c>
      <c r="E20" t="s">
        <v>168</v>
      </c>
      <c r="F20" t="s">
        <v>169</v>
      </c>
      <c r="G20" s="4" t="s">
        <v>12</v>
      </c>
      <c r="H20" t="s">
        <v>13</v>
      </c>
      <c r="I20" t="s">
        <v>14</v>
      </c>
    </row>
    <row r="21" spans="1:9" x14ac:dyDescent="0.3">
      <c r="A21" t="str">
        <f t="shared" si="0"/>
        <v>CUS-20</v>
      </c>
      <c r="B21" t="s">
        <v>112</v>
      </c>
      <c r="C21" t="s">
        <v>10</v>
      </c>
      <c r="D21" t="s">
        <v>170</v>
      </c>
      <c r="E21" t="s">
        <v>171</v>
      </c>
      <c r="F21" t="s">
        <v>172</v>
      </c>
      <c r="G21" s="4" t="s">
        <v>12</v>
      </c>
      <c r="H21" t="s">
        <v>13</v>
      </c>
      <c r="I21" t="s">
        <v>14</v>
      </c>
    </row>
    <row r="22" spans="1:9" x14ac:dyDescent="0.3">
      <c r="A22" t="str">
        <f t="shared" si="0"/>
        <v>CUS-21</v>
      </c>
      <c r="B22" t="s">
        <v>112</v>
      </c>
      <c r="C22" t="s">
        <v>10</v>
      </c>
      <c r="D22" t="s">
        <v>173</v>
      </c>
      <c r="E22" t="s">
        <v>174</v>
      </c>
      <c r="F22" t="s">
        <v>175</v>
      </c>
      <c r="G22" s="4" t="s">
        <v>12</v>
      </c>
      <c r="H22" t="s">
        <v>15</v>
      </c>
      <c r="I22" t="s">
        <v>14</v>
      </c>
    </row>
    <row r="23" spans="1:9" x14ac:dyDescent="0.3">
      <c r="A23" t="str">
        <f t="shared" si="0"/>
        <v>CUS-22</v>
      </c>
      <c r="B23" t="s">
        <v>112</v>
      </c>
      <c r="C23" t="s">
        <v>10</v>
      </c>
      <c r="D23" t="s">
        <v>176</v>
      </c>
      <c r="E23" t="s">
        <v>177</v>
      </c>
      <c r="F23" t="s">
        <v>178</v>
      </c>
      <c r="G23" s="4" t="s">
        <v>12</v>
      </c>
      <c r="H23" t="s">
        <v>15</v>
      </c>
      <c r="I23" t="s">
        <v>14</v>
      </c>
    </row>
    <row r="24" spans="1:9" x14ac:dyDescent="0.3">
      <c r="A24" t="str">
        <f t="shared" si="0"/>
        <v>CUS-23</v>
      </c>
      <c r="B24" t="s">
        <v>112</v>
      </c>
      <c r="C24" t="s">
        <v>10</v>
      </c>
      <c r="D24" t="s">
        <v>179</v>
      </c>
      <c r="E24" t="s">
        <v>180</v>
      </c>
      <c r="F24" t="s">
        <v>181</v>
      </c>
      <c r="G24" s="4" t="s">
        <v>12</v>
      </c>
      <c r="H24" t="s">
        <v>15</v>
      </c>
      <c r="I24" t="s">
        <v>14</v>
      </c>
    </row>
    <row r="25" spans="1:9" x14ac:dyDescent="0.3">
      <c r="A25" t="str">
        <f t="shared" si="0"/>
        <v>CUS-24</v>
      </c>
      <c r="B25" t="s">
        <v>112</v>
      </c>
      <c r="C25" t="s">
        <v>10</v>
      </c>
      <c r="D25" t="s">
        <v>182</v>
      </c>
      <c r="E25" t="s">
        <v>183</v>
      </c>
      <c r="F25" t="s">
        <v>184</v>
      </c>
      <c r="G25" s="4" t="s">
        <v>12</v>
      </c>
      <c r="H25" t="s">
        <v>15</v>
      </c>
      <c r="I25" t="s">
        <v>14</v>
      </c>
    </row>
    <row r="26" spans="1:9" x14ac:dyDescent="0.3">
      <c r="A26" t="str">
        <f t="shared" si="0"/>
        <v>CUS-25</v>
      </c>
      <c r="B26" t="s">
        <v>112</v>
      </c>
      <c r="C26" t="s">
        <v>10</v>
      </c>
      <c r="D26" t="s">
        <v>185</v>
      </c>
      <c r="E26" t="s">
        <v>186</v>
      </c>
      <c r="F26" t="s">
        <v>187</v>
      </c>
      <c r="G26" s="4" t="s">
        <v>12</v>
      </c>
      <c r="H26" t="s">
        <v>15</v>
      </c>
      <c r="I26" t="s">
        <v>14</v>
      </c>
    </row>
    <row r="27" spans="1:9" x14ac:dyDescent="0.3">
      <c r="A27" t="str">
        <f t="shared" si="0"/>
        <v>CUS-26</v>
      </c>
      <c r="B27" t="s">
        <v>112</v>
      </c>
      <c r="C27" t="s">
        <v>10</v>
      </c>
      <c r="D27" t="s">
        <v>188</v>
      </c>
      <c r="E27" t="s">
        <v>189</v>
      </c>
      <c r="F27" t="s">
        <v>190</v>
      </c>
      <c r="G27" s="4" t="s">
        <v>12</v>
      </c>
      <c r="H27" t="s">
        <v>15</v>
      </c>
      <c r="I27" t="s">
        <v>14</v>
      </c>
    </row>
    <row r="28" spans="1:9" x14ac:dyDescent="0.3">
      <c r="A28" t="str">
        <f t="shared" si="0"/>
        <v>CUS-27</v>
      </c>
      <c r="B28" t="s">
        <v>112</v>
      </c>
      <c r="C28" t="s">
        <v>10</v>
      </c>
      <c r="D28" t="s">
        <v>191</v>
      </c>
      <c r="E28" t="s">
        <v>192</v>
      </c>
      <c r="F28" t="s">
        <v>193</v>
      </c>
      <c r="G28" s="4" t="s">
        <v>12</v>
      </c>
      <c r="H28" t="s">
        <v>15</v>
      </c>
      <c r="I28" t="s">
        <v>14</v>
      </c>
    </row>
    <row r="29" spans="1:9" x14ac:dyDescent="0.3">
      <c r="A29" t="str">
        <f t="shared" si="0"/>
        <v>CUS-28</v>
      </c>
      <c r="B29" t="s">
        <v>112</v>
      </c>
      <c r="C29" t="s">
        <v>10</v>
      </c>
      <c r="D29" t="s">
        <v>194</v>
      </c>
      <c r="E29" t="s">
        <v>195</v>
      </c>
      <c r="F29" t="s">
        <v>196</v>
      </c>
      <c r="G29" s="4" t="s">
        <v>12</v>
      </c>
      <c r="H29" t="s">
        <v>100</v>
      </c>
      <c r="I29" t="s">
        <v>14</v>
      </c>
    </row>
    <row r="30" spans="1:9" x14ac:dyDescent="0.3">
      <c r="A30" t="str">
        <f t="shared" si="0"/>
        <v>CUS-29</v>
      </c>
      <c r="B30" t="s">
        <v>112</v>
      </c>
      <c r="C30" t="s">
        <v>10</v>
      </c>
      <c r="D30" t="s">
        <v>197</v>
      </c>
      <c r="E30" t="s">
        <v>198</v>
      </c>
      <c r="F30" t="s">
        <v>199</v>
      </c>
      <c r="G30" s="4" t="s">
        <v>12</v>
      </c>
      <c r="H30" t="s">
        <v>43</v>
      </c>
      <c r="I30" t="s">
        <v>14</v>
      </c>
    </row>
    <row r="31" spans="1:9" x14ac:dyDescent="0.3">
      <c r="A31" t="str">
        <f t="shared" si="0"/>
        <v>CUS-30</v>
      </c>
      <c r="B31" t="s">
        <v>112</v>
      </c>
      <c r="C31" t="s">
        <v>10</v>
      </c>
      <c r="D31" t="s">
        <v>200</v>
      </c>
      <c r="E31" t="s">
        <v>201</v>
      </c>
      <c r="F31" t="s">
        <v>202</v>
      </c>
      <c r="G31" s="4" t="s">
        <v>12</v>
      </c>
      <c r="H31" t="s">
        <v>15</v>
      </c>
      <c r="I31" t="s">
        <v>14</v>
      </c>
    </row>
    <row r="32" spans="1:9" x14ac:dyDescent="0.3">
      <c r="A32" t="str">
        <f t="shared" si="0"/>
        <v>CUS-31</v>
      </c>
      <c r="B32" t="s">
        <v>112</v>
      </c>
      <c r="C32" t="s">
        <v>10</v>
      </c>
      <c r="D32" t="s">
        <v>203</v>
      </c>
      <c r="E32" t="s">
        <v>204</v>
      </c>
      <c r="F32" t="s">
        <v>205</v>
      </c>
      <c r="G32" s="4" t="s">
        <v>12</v>
      </c>
      <c r="H32" t="s">
        <v>43</v>
      </c>
      <c r="I32" t="s">
        <v>14</v>
      </c>
    </row>
    <row r="33" spans="1:9" x14ac:dyDescent="0.3">
      <c r="A33" t="str">
        <f t="shared" si="0"/>
        <v>CUS-32</v>
      </c>
      <c r="B33" t="s">
        <v>112</v>
      </c>
      <c r="C33" t="s">
        <v>10</v>
      </c>
      <c r="D33" t="s">
        <v>206</v>
      </c>
      <c r="E33" t="s">
        <v>207</v>
      </c>
      <c r="F33" t="s">
        <v>208</v>
      </c>
      <c r="G33" s="4" t="s">
        <v>12</v>
      </c>
      <c r="H33" t="s">
        <v>15</v>
      </c>
      <c r="I33" t="s">
        <v>14</v>
      </c>
    </row>
    <row r="34" spans="1:9" x14ac:dyDescent="0.3">
      <c r="A34" t="str">
        <f t="shared" si="0"/>
        <v>CUS-33</v>
      </c>
      <c r="B34" t="s">
        <v>112</v>
      </c>
      <c r="C34" t="s">
        <v>10</v>
      </c>
      <c r="D34" t="s">
        <v>209</v>
      </c>
      <c r="E34" t="s">
        <v>210</v>
      </c>
      <c r="F34" t="s">
        <v>208</v>
      </c>
      <c r="G34" s="4" t="s">
        <v>12</v>
      </c>
      <c r="H34" t="s">
        <v>15</v>
      </c>
      <c r="I34" t="s">
        <v>14</v>
      </c>
    </row>
    <row r="35" spans="1:9" x14ac:dyDescent="0.3">
      <c r="A35" t="str">
        <f t="shared" si="0"/>
        <v>CUS-34</v>
      </c>
      <c r="B35" t="s">
        <v>112</v>
      </c>
      <c r="C35" t="s">
        <v>10</v>
      </c>
      <c r="D35" t="s">
        <v>211</v>
      </c>
      <c r="E35" t="s">
        <v>212</v>
      </c>
      <c r="F35" t="s">
        <v>213</v>
      </c>
      <c r="G35" s="4" t="s">
        <v>12</v>
      </c>
      <c r="H35" t="s">
        <v>15</v>
      </c>
    </row>
    <row r="36" spans="1:9" x14ac:dyDescent="0.3">
      <c r="A36" t="str">
        <f t="shared" si="0"/>
        <v>CUS-35</v>
      </c>
      <c r="B36" t="s">
        <v>112</v>
      </c>
      <c r="C36" t="s">
        <v>10</v>
      </c>
      <c r="D36" t="s">
        <v>214</v>
      </c>
      <c r="E36" t="s">
        <v>215</v>
      </c>
      <c r="F36" t="s">
        <v>216</v>
      </c>
      <c r="G36" s="4" t="s">
        <v>12</v>
      </c>
      <c r="H36" t="s">
        <v>13</v>
      </c>
    </row>
    <row r="37" spans="1:9" x14ac:dyDescent="0.3">
      <c r="A37" t="str">
        <f t="shared" si="0"/>
        <v>CUS-36</v>
      </c>
      <c r="B37" t="s">
        <v>112</v>
      </c>
      <c r="C37" t="s">
        <v>10</v>
      </c>
      <c r="D37" t="s">
        <v>217</v>
      </c>
      <c r="E37" t="s">
        <v>218</v>
      </c>
      <c r="F37" t="s">
        <v>219</v>
      </c>
      <c r="G37" s="4" t="s">
        <v>12</v>
      </c>
      <c r="H37" t="s">
        <v>15</v>
      </c>
    </row>
    <row r="38" spans="1:9" x14ac:dyDescent="0.3">
      <c r="A38" t="str">
        <f t="shared" si="0"/>
        <v>CUS-37</v>
      </c>
      <c r="B38" t="s">
        <v>112</v>
      </c>
      <c r="C38" t="s">
        <v>10</v>
      </c>
      <c r="D38" t="s">
        <v>220</v>
      </c>
      <c r="E38" t="s">
        <v>221</v>
      </c>
      <c r="F38" t="s">
        <v>222</v>
      </c>
      <c r="G38" s="4" t="s">
        <v>12</v>
      </c>
      <c r="H38" t="s">
        <v>43</v>
      </c>
    </row>
    <row r="39" spans="1:9" x14ac:dyDescent="0.3">
      <c r="A39" t="str">
        <f t="shared" si="0"/>
        <v>CUS-38</v>
      </c>
      <c r="B39" t="s">
        <v>112</v>
      </c>
      <c r="C39" t="s">
        <v>10</v>
      </c>
      <c r="D39" t="s">
        <v>223</v>
      </c>
      <c r="E39" t="s">
        <v>224</v>
      </c>
      <c r="F39" t="s">
        <v>225</v>
      </c>
      <c r="G39" s="4" t="s">
        <v>12</v>
      </c>
      <c r="H39" t="s">
        <v>43</v>
      </c>
    </row>
    <row r="40" spans="1:9" x14ac:dyDescent="0.3">
      <c r="A40" t="str">
        <f t="shared" si="0"/>
        <v>CUS-39</v>
      </c>
      <c r="B40" t="s">
        <v>112</v>
      </c>
      <c r="C40" t="s">
        <v>10</v>
      </c>
      <c r="D40" t="s">
        <v>226</v>
      </c>
      <c r="E40" t="s">
        <v>227</v>
      </c>
      <c r="F40" t="s">
        <v>228</v>
      </c>
      <c r="G40" s="4" t="s">
        <v>12</v>
      </c>
      <c r="H40" t="s">
        <v>43</v>
      </c>
    </row>
    <row r="41" spans="1:9" x14ac:dyDescent="0.3">
      <c r="A41" t="str">
        <f t="shared" si="0"/>
        <v>CUS-40</v>
      </c>
      <c r="B41" t="s">
        <v>112</v>
      </c>
      <c r="C41" t="s">
        <v>10</v>
      </c>
      <c r="D41" t="s">
        <v>229</v>
      </c>
      <c r="E41" t="s">
        <v>230</v>
      </c>
      <c r="F41" t="s">
        <v>231</v>
      </c>
      <c r="G41" s="4" t="s">
        <v>12</v>
      </c>
      <c r="H41" t="s">
        <v>43</v>
      </c>
    </row>
    <row r="42" spans="1:9" x14ac:dyDescent="0.3">
      <c r="A42" t="str">
        <f t="shared" si="0"/>
        <v>CUS-41</v>
      </c>
      <c r="B42" t="s">
        <v>112</v>
      </c>
      <c r="C42" t="s">
        <v>10</v>
      </c>
      <c r="D42" t="s">
        <v>232</v>
      </c>
      <c r="E42" t="s">
        <v>233</v>
      </c>
      <c r="F42" t="s">
        <v>234</v>
      </c>
      <c r="G42" s="4" t="s">
        <v>12</v>
      </c>
      <c r="H42" t="s">
        <v>15</v>
      </c>
    </row>
    <row r="43" spans="1:9" x14ac:dyDescent="0.3">
      <c r="A43" t="str">
        <f t="shared" si="0"/>
        <v>CUS-42</v>
      </c>
      <c r="B43" t="s">
        <v>112</v>
      </c>
      <c r="C43" t="s">
        <v>10</v>
      </c>
      <c r="D43" t="s">
        <v>235</v>
      </c>
      <c r="E43" t="s">
        <v>236</v>
      </c>
      <c r="F43" t="s">
        <v>237</v>
      </c>
      <c r="G43" s="4" t="s">
        <v>12</v>
      </c>
      <c r="H43" t="s">
        <v>15</v>
      </c>
    </row>
    <row r="44" spans="1:9" x14ac:dyDescent="0.3">
      <c r="A44" t="str">
        <f t="shared" si="0"/>
        <v>CUS-43</v>
      </c>
      <c r="B44" t="s">
        <v>112</v>
      </c>
      <c r="C44" t="s">
        <v>10</v>
      </c>
      <c r="D44" t="s">
        <v>238</v>
      </c>
      <c r="E44" t="s">
        <v>239</v>
      </c>
      <c r="F44" t="s">
        <v>240</v>
      </c>
      <c r="G44" s="4" t="s">
        <v>12</v>
      </c>
      <c r="H44" t="s">
        <v>15</v>
      </c>
    </row>
    <row r="45" spans="1:9" x14ac:dyDescent="0.3">
      <c r="A45" t="str">
        <f t="shared" si="0"/>
        <v>CUS-44</v>
      </c>
      <c r="B45" t="s">
        <v>112</v>
      </c>
      <c r="C45" t="s">
        <v>10</v>
      </c>
      <c r="D45" t="s">
        <v>241</v>
      </c>
      <c r="E45" t="s">
        <v>242</v>
      </c>
      <c r="F45" t="s">
        <v>243</v>
      </c>
      <c r="G45" s="4" t="s">
        <v>12</v>
      </c>
      <c r="H45" t="s">
        <v>15</v>
      </c>
    </row>
    <row r="46" spans="1:9" x14ac:dyDescent="0.3">
      <c r="A46" t="str">
        <f t="shared" si="0"/>
        <v>CUS-45</v>
      </c>
      <c r="B46" t="s">
        <v>112</v>
      </c>
      <c r="C46" t="s">
        <v>10</v>
      </c>
      <c r="D46" t="s">
        <v>244</v>
      </c>
      <c r="E46" t="s">
        <v>245</v>
      </c>
      <c r="F46" t="s">
        <v>246</v>
      </c>
      <c r="G46" s="4" t="s">
        <v>12</v>
      </c>
      <c r="H46" t="s">
        <v>15</v>
      </c>
    </row>
    <row r="47" spans="1:9" x14ac:dyDescent="0.3">
      <c r="A47" t="str">
        <f t="shared" si="0"/>
        <v>CUS-46</v>
      </c>
      <c r="B47" t="s">
        <v>112</v>
      </c>
      <c r="C47" t="s">
        <v>10</v>
      </c>
      <c r="D47" t="s">
        <v>247</v>
      </c>
      <c r="E47" t="s">
        <v>248</v>
      </c>
      <c r="F47" t="s">
        <v>249</v>
      </c>
      <c r="G47" s="4" t="s">
        <v>12</v>
      </c>
      <c r="H47" t="s">
        <v>15</v>
      </c>
    </row>
    <row r="48" spans="1:9" x14ac:dyDescent="0.3">
      <c r="A48" t="str">
        <f t="shared" si="0"/>
        <v>CUS-47</v>
      </c>
      <c r="B48" t="s">
        <v>112</v>
      </c>
      <c r="C48" t="s">
        <v>10</v>
      </c>
      <c r="D48" t="s">
        <v>250</v>
      </c>
      <c r="E48" t="s">
        <v>251</v>
      </c>
      <c r="F48" t="s">
        <v>252</v>
      </c>
      <c r="G48" s="4" t="s">
        <v>12</v>
      </c>
      <c r="H48" t="s">
        <v>15</v>
      </c>
    </row>
    <row r="49" spans="1:8" x14ac:dyDescent="0.3">
      <c r="A49" t="str">
        <f t="shared" si="0"/>
        <v>CUS-48</v>
      </c>
      <c r="B49" t="s">
        <v>112</v>
      </c>
      <c r="C49" t="s">
        <v>10</v>
      </c>
      <c r="D49" t="s">
        <v>253</v>
      </c>
      <c r="E49" t="s">
        <v>254</v>
      </c>
      <c r="F49" t="s">
        <v>255</v>
      </c>
      <c r="G49" s="4" t="s">
        <v>12</v>
      </c>
      <c r="H49" t="s">
        <v>13</v>
      </c>
    </row>
    <row r="50" spans="1:8" x14ac:dyDescent="0.3">
      <c r="A50" t="str">
        <f t="shared" si="0"/>
        <v>CUS-49</v>
      </c>
      <c r="B50" t="s">
        <v>112</v>
      </c>
      <c r="C50" t="s">
        <v>10</v>
      </c>
      <c r="D50" t="s">
        <v>256</v>
      </c>
      <c r="E50" t="s">
        <v>257</v>
      </c>
      <c r="F50" t="s">
        <v>258</v>
      </c>
      <c r="G50" s="4" t="s">
        <v>12</v>
      </c>
      <c r="H50" t="s">
        <v>13</v>
      </c>
    </row>
    <row r="51" spans="1:8" x14ac:dyDescent="0.3">
      <c r="A51" t="str">
        <f t="shared" si="0"/>
        <v>CUS-50</v>
      </c>
      <c r="B51" t="s">
        <v>112</v>
      </c>
      <c r="C51" t="s">
        <v>10</v>
      </c>
      <c r="D51" t="s">
        <v>259</v>
      </c>
      <c r="E51" t="s">
        <v>260</v>
      </c>
      <c r="F51" t="s">
        <v>261</v>
      </c>
      <c r="G51" s="4" t="s">
        <v>12</v>
      </c>
      <c r="H51" t="s">
        <v>100</v>
      </c>
    </row>
    <row r="52" spans="1:8" x14ac:dyDescent="0.3">
      <c r="A52" t="str">
        <f t="shared" si="0"/>
        <v>CUS-51</v>
      </c>
      <c r="B52" t="s">
        <v>112</v>
      </c>
      <c r="C52" t="s">
        <v>10</v>
      </c>
      <c r="D52" t="s">
        <v>262</v>
      </c>
      <c r="E52" t="s">
        <v>263</v>
      </c>
      <c r="F52" t="s">
        <v>264</v>
      </c>
      <c r="G52" s="4" t="s">
        <v>12</v>
      </c>
      <c r="H52" t="s">
        <v>13</v>
      </c>
    </row>
    <row r="53" spans="1:8" x14ac:dyDescent="0.3">
      <c r="A53" t="str">
        <f t="shared" si="0"/>
        <v>CUS-52</v>
      </c>
      <c r="B53" t="s">
        <v>112</v>
      </c>
      <c r="C53" t="s">
        <v>10</v>
      </c>
      <c r="D53" t="s">
        <v>265</v>
      </c>
      <c r="E53" t="s">
        <v>266</v>
      </c>
      <c r="F53" t="s">
        <v>267</v>
      </c>
      <c r="G53" s="4" t="s">
        <v>12</v>
      </c>
      <c r="H53" t="s">
        <v>100</v>
      </c>
    </row>
    <row r="54" spans="1:8" x14ac:dyDescent="0.3">
      <c r="A54" t="str">
        <f t="shared" si="0"/>
        <v>CUS-53</v>
      </c>
      <c r="B54" t="s">
        <v>112</v>
      </c>
      <c r="C54" t="s">
        <v>10</v>
      </c>
      <c r="D54" t="s">
        <v>268</v>
      </c>
      <c r="E54" t="s">
        <v>269</v>
      </c>
      <c r="F54" t="s">
        <v>270</v>
      </c>
      <c r="G54" s="4" t="s">
        <v>12</v>
      </c>
      <c r="H54" t="s">
        <v>100</v>
      </c>
    </row>
    <row r="55" spans="1:8" x14ac:dyDescent="0.3">
      <c r="A55" t="str">
        <f t="shared" si="0"/>
        <v>CUS-54</v>
      </c>
      <c r="B55" t="s">
        <v>112</v>
      </c>
      <c r="C55" t="s">
        <v>10</v>
      </c>
      <c r="D55" t="s">
        <v>271</v>
      </c>
      <c r="E55" t="s">
        <v>272</v>
      </c>
      <c r="F55" t="s">
        <v>273</v>
      </c>
      <c r="G55" s="4" t="s">
        <v>12</v>
      </c>
      <c r="H55" t="s">
        <v>100</v>
      </c>
    </row>
    <row r="56" spans="1:8" x14ac:dyDescent="0.3">
      <c r="A56" t="str">
        <f t="shared" si="0"/>
        <v>CUS-55</v>
      </c>
      <c r="B56" t="s">
        <v>112</v>
      </c>
      <c r="C56" t="s">
        <v>10</v>
      </c>
      <c r="D56" t="s">
        <v>274</v>
      </c>
      <c r="E56" t="s">
        <v>275</v>
      </c>
      <c r="F56" t="s">
        <v>276</v>
      </c>
      <c r="G56" s="4" t="s">
        <v>12</v>
      </c>
      <c r="H56" t="s">
        <v>13</v>
      </c>
    </row>
    <row r="57" spans="1:8" x14ac:dyDescent="0.3">
      <c r="A57" t="str">
        <f t="shared" si="0"/>
        <v>CUS-56</v>
      </c>
      <c r="B57" t="s">
        <v>112</v>
      </c>
      <c r="C57" t="s">
        <v>10</v>
      </c>
      <c r="D57" t="s">
        <v>277</v>
      </c>
      <c r="E57" t="s">
        <v>278</v>
      </c>
      <c r="F57" t="s">
        <v>279</v>
      </c>
      <c r="G57" s="4" t="s">
        <v>12</v>
      </c>
      <c r="H57" t="s">
        <v>13</v>
      </c>
    </row>
    <row r="58" spans="1:8" x14ac:dyDescent="0.3">
      <c r="A58" t="str">
        <f t="shared" si="0"/>
        <v>CUS-57</v>
      </c>
      <c r="B58" t="s">
        <v>112</v>
      </c>
      <c r="C58" t="s">
        <v>10</v>
      </c>
      <c r="D58" t="s">
        <v>280</v>
      </c>
      <c r="E58" t="s">
        <v>281</v>
      </c>
      <c r="F58" t="s">
        <v>67</v>
      </c>
      <c r="G58" s="4" t="s">
        <v>12</v>
      </c>
      <c r="H58" t="s">
        <v>43</v>
      </c>
    </row>
    <row r="59" spans="1:8" x14ac:dyDescent="0.3">
      <c r="A59" t="str">
        <f t="shared" si="0"/>
        <v>CUS-58</v>
      </c>
      <c r="B59" t="s">
        <v>112</v>
      </c>
      <c r="C59" t="s">
        <v>10</v>
      </c>
      <c r="D59" t="s">
        <v>282</v>
      </c>
      <c r="E59" t="s">
        <v>283</v>
      </c>
      <c r="F59" t="s">
        <v>284</v>
      </c>
      <c r="G59" s="4" t="s">
        <v>12</v>
      </c>
      <c r="H59" t="s">
        <v>43</v>
      </c>
    </row>
    <row r="60" spans="1:8" x14ac:dyDescent="0.3">
      <c r="A60" t="str">
        <f t="shared" si="0"/>
        <v>CUS-59</v>
      </c>
      <c r="B60" t="s">
        <v>112</v>
      </c>
      <c r="C60" t="s">
        <v>10</v>
      </c>
      <c r="D60" t="s">
        <v>285</v>
      </c>
      <c r="E60" t="s">
        <v>286</v>
      </c>
      <c r="F60" t="s">
        <v>287</v>
      </c>
      <c r="G60" s="4" t="s">
        <v>12</v>
      </c>
      <c r="H60" t="s">
        <v>15</v>
      </c>
    </row>
    <row r="61" spans="1:8" x14ac:dyDescent="0.3">
      <c r="A61" t="str">
        <f t="shared" si="0"/>
        <v>CUS-60</v>
      </c>
      <c r="B61" t="s">
        <v>112</v>
      </c>
      <c r="C61" t="s">
        <v>10</v>
      </c>
      <c r="D61" t="s">
        <v>288</v>
      </c>
      <c r="E61" t="s">
        <v>289</v>
      </c>
      <c r="F61" t="s">
        <v>290</v>
      </c>
      <c r="G61" s="4" t="s">
        <v>12</v>
      </c>
      <c r="H61" t="s">
        <v>15</v>
      </c>
    </row>
    <row r="62" spans="1:8" x14ac:dyDescent="0.3">
      <c r="A62" t="str">
        <f t="shared" si="0"/>
        <v>CUS-61</v>
      </c>
      <c r="B62" t="s">
        <v>112</v>
      </c>
      <c r="C62" t="s">
        <v>10</v>
      </c>
      <c r="D62" t="s">
        <v>291</v>
      </c>
      <c r="E62" t="s">
        <v>292</v>
      </c>
      <c r="F62" t="s">
        <v>293</v>
      </c>
      <c r="G62" s="4" t="s">
        <v>12</v>
      </c>
      <c r="H62" t="s">
        <v>43</v>
      </c>
    </row>
    <row r="63" spans="1:8" x14ac:dyDescent="0.3">
      <c r="A63" t="str">
        <f t="shared" ref="A63:A67" si="1">"CUS-"&amp;IF(B63="","",TEXT(ROW()-1,"00"))</f>
        <v>CUS-62</v>
      </c>
      <c r="B63" t="s">
        <v>112</v>
      </c>
      <c r="C63" t="s">
        <v>10</v>
      </c>
      <c r="D63" t="s">
        <v>294</v>
      </c>
      <c r="E63" t="s">
        <v>295</v>
      </c>
      <c r="F63" t="s">
        <v>296</v>
      </c>
      <c r="G63" s="4" t="s">
        <v>12</v>
      </c>
      <c r="H63" t="s">
        <v>15</v>
      </c>
    </row>
    <row r="64" spans="1:8" x14ac:dyDescent="0.3">
      <c r="A64" t="str">
        <f t="shared" si="1"/>
        <v>CUS-63</v>
      </c>
      <c r="B64" t="s">
        <v>112</v>
      </c>
      <c r="C64" t="s">
        <v>10</v>
      </c>
      <c r="D64" t="s">
        <v>297</v>
      </c>
      <c r="E64" t="s">
        <v>298</v>
      </c>
      <c r="F64" t="s">
        <v>299</v>
      </c>
      <c r="G64" s="4" t="s">
        <v>12</v>
      </c>
      <c r="H64" t="s">
        <v>15</v>
      </c>
    </row>
    <row r="65" spans="1:8" x14ac:dyDescent="0.3">
      <c r="A65" t="str">
        <f t="shared" si="1"/>
        <v>CUS-64</v>
      </c>
      <c r="B65" t="s">
        <v>112</v>
      </c>
      <c r="C65" t="s">
        <v>10</v>
      </c>
      <c r="D65" t="s">
        <v>300</v>
      </c>
      <c r="E65" t="s">
        <v>301</v>
      </c>
      <c r="F65" t="s">
        <v>302</v>
      </c>
      <c r="G65" s="4" t="s">
        <v>12</v>
      </c>
      <c r="H65" t="s">
        <v>13</v>
      </c>
    </row>
    <row r="66" spans="1:8" x14ac:dyDescent="0.3">
      <c r="A66" t="str">
        <f t="shared" si="1"/>
        <v>CUS-65</v>
      </c>
      <c r="B66" t="s">
        <v>112</v>
      </c>
      <c r="C66" t="s">
        <v>10</v>
      </c>
      <c r="D66" t="s">
        <v>303</v>
      </c>
      <c r="E66" t="s">
        <v>304</v>
      </c>
      <c r="F66" t="s">
        <v>305</v>
      </c>
      <c r="G66" s="4" t="s">
        <v>12</v>
      </c>
      <c r="H66" t="s">
        <v>15</v>
      </c>
    </row>
    <row r="67" spans="1:8" x14ac:dyDescent="0.3">
      <c r="A67" t="str">
        <f t="shared" si="1"/>
        <v>CUS-66</v>
      </c>
      <c r="B67" t="s">
        <v>112</v>
      </c>
      <c r="C67" t="s">
        <v>10</v>
      </c>
      <c r="D67" t="s">
        <v>306</v>
      </c>
      <c r="E67" t="s">
        <v>307</v>
      </c>
      <c r="F67" t="s">
        <v>308</v>
      </c>
      <c r="G67" s="4" t="s">
        <v>12</v>
      </c>
      <c r="H6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6665-5534-4DA6-972E-855DCA498644}">
  <dimension ref="A1:I31"/>
  <sheetViews>
    <sheetView topLeftCell="D1" zoomScaleNormal="100" workbookViewId="0">
      <selection activeCell="D1" sqref="A1:XFD1"/>
    </sheetView>
  </sheetViews>
  <sheetFormatPr defaultRowHeight="14.4" x14ac:dyDescent="0.3"/>
  <cols>
    <col min="1" max="1" width="8.44140625" bestFit="1" customWidth="1"/>
    <col min="2" max="2" width="12.6640625" bestFit="1" customWidth="1"/>
    <col min="3" max="3" width="59.44140625" bestFit="1" customWidth="1"/>
    <col min="4" max="4" width="48" bestFit="1" customWidth="1"/>
    <col min="5" max="5" width="57.88671875" bestFit="1" customWidth="1"/>
    <col min="6" max="6" width="54.77734375" bestFit="1" customWidth="1"/>
    <col min="7" max="7" width="10" bestFit="1" customWidth="1"/>
    <col min="8" max="8" width="9.5546875" hidden="1" customWidth="1"/>
    <col min="9" max="9" width="10.77734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tr">
        <f>"FARM-"&amp;IF(B3="","",TEXT(ROW()-1,"00"))</f>
        <v>FARM-01</v>
      </c>
      <c r="B2" t="s">
        <v>44</v>
      </c>
      <c r="C2" t="s">
        <v>309</v>
      </c>
      <c r="D2" t="s">
        <v>310</v>
      </c>
      <c r="E2" t="s">
        <v>311</v>
      </c>
      <c r="F2" t="s">
        <v>312</v>
      </c>
      <c r="G2" s="4" t="s">
        <v>313</v>
      </c>
      <c r="I2" t="s">
        <v>314</v>
      </c>
    </row>
    <row r="3" spans="1:9" x14ac:dyDescent="0.3">
      <c r="A3" t="str">
        <f t="shared" ref="A3:A31" si="0">"FARM-"&amp;IF(B4="","",TEXT(ROW()-1,"00"))</f>
        <v>FARM-02</v>
      </c>
      <c r="B3" t="s">
        <v>44</v>
      </c>
      <c r="C3" t="s">
        <v>315</v>
      </c>
      <c r="D3" t="s">
        <v>316</v>
      </c>
      <c r="E3" t="s">
        <v>317</v>
      </c>
      <c r="F3" t="s">
        <v>318</v>
      </c>
      <c r="G3" s="4" t="s">
        <v>313</v>
      </c>
      <c r="I3" t="s">
        <v>314</v>
      </c>
    </row>
    <row r="4" spans="1:9" x14ac:dyDescent="0.3">
      <c r="A4" t="str">
        <f t="shared" si="0"/>
        <v>FARM-03</v>
      </c>
      <c r="B4" t="s">
        <v>319</v>
      </c>
      <c r="C4" t="s">
        <v>320</v>
      </c>
      <c r="D4" t="s">
        <v>321</v>
      </c>
      <c r="E4" t="s">
        <v>322</v>
      </c>
      <c r="F4" t="s">
        <v>323</v>
      </c>
      <c r="G4" s="4" t="s">
        <v>313</v>
      </c>
      <c r="I4" t="s">
        <v>314</v>
      </c>
    </row>
    <row r="5" spans="1:9" x14ac:dyDescent="0.3">
      <c r="A5" t="str">
        <f t="shared" si="0"/>
        <v>FARM-04</v>
      </c>
      <c r="B5" t="s">
        <v>319</v>
      </c>
      <c r="C5" t="s">
        <v>324</v>
      </c>
      <c r="D5" t="s">
        <v>325</v>
      </c>
      <c r="E5" t="s">
        <v>326</v>
      </c>
      <c r="F5" t="s">
        <v>327</v>
      </c>
      <c r="G5" s="4" t="s">
        <v>313</v>
      </c>
      <c r="I5" t="s">
        <v>314</v>
      </c>
    </row>
    <row r="6" spans="1:9" x14ac:dyDescent="0.3">
      <c r="A6" t="str">
        <f t="shared" si="0"/>
        <v>FARM-05</v>
      </c>
      <c r="B6" t="s">
        <v>319</v>
      </c>
      <c r="C6" t="s">
        <v>328</v>
      </c>
      <c r="D6" t="s">
        <v>329</v>
      </c>
      <c r="E6" t="s">
        <v>330</v>
      </c>
      <c r="F6" t="s">
        <v>331</v>
      </c>
      <c r="G6" s="4" t="s">
        <v>313</v>
      </c>
      <c r="I6" t="s">
        <v>314</v>
      </c>
    </row>
    <row r="7" spans="1:9" x14ac:dyDescent="0.3">
      <c r="A7" t="str">
        <f t="shared" si="0"/>
        <v>FARM-06</v>
      </c>
      <c r="B7" t="s">
        <v>332</v>
      </c>
      <c r="C7" t="s">
        <v>333</v>
      </c>
      <c r="D7" t="s">
        <v>334</v>
      </c>
      <c r="E7" t="s">
        <v>335</v>
      </c>
      <c r="F7" t="s">
        <v>336</v>
      </c>
      <c r="G7" s="4" t="s">
        <v>313</v>
      </c>
      <c r="I7" t="s">
        <v>314</v>
      </c>
    </row>
    <row r="8" spans="1:9" x14ac:dyDescent="0.3">
      <c r="A8" t="str">
        <f t="shared" si="0"/>
        <v>FARM-07</v>
      </c>
      <c r="B8" t="s">
        <v>332</v>
      </c>
      <c r="C8" t="s">
        <v>337</v>
      </c>
      <c r="D8" t="s">
        <v>338</v>
      </c>
      <c r="E8" t="s">
        <v>339</v>
      </c>
      <c r="F8" t="s">
        <v>340</v>
      </c>
      <c r="G8" s="5" t="s">
        <v>341</v>
      </c>
      <c r="I8" t="s">
        <v>314</v>
      </c>
    </row>
    <row r="9" spans="1:9" x14ac:dyDescent="0.3">
      <c r="A9" t="str">
        <f t="shared" si="0"/>
        <v>FARM-08</v>
      </c>
      <c r="B9" t="s">
        <v>332</v>
      </c>
      <c r="C9" t="s">
        <v>342</v>
      </c>
      <c r="D9" t="s">
        <v>343</v>
      </c>
      <c r="E9" t="s">
        <v>342</v>
      </c>
      <c r="F9" t="s">
        <v>344</v>
      </c>
      <c r="G9" s="5" t="s">
        <v>341</v>
      </c>
      <c r="I9" t="s">
        <v>314</v>
      </c>
    </row>
    <row r="10" spans="1:9" x14ac:dyDescent="0.3">
      <c r="A10" t="str">
        <f t="shared" si="0"/>
        <v>FARM-09</v>
      </c>
      <c r="B10" t="s">
        <v>332</v>
      </c>
      <c r="C10" t="s">
        <v>345</v>
      </c>
      <c r="D10" t="s">
        <v>334</v>
      </c>
      <c r="E10" t="s">
        <v>346</v>
      </c>
      <c r="F10" t="s">
        <v>347</v>
      </c>
      <c r="G10" s="4" t="s">
        <v>313</v>
      </c>
      <c r="I10" t="s">
        <v>314</v>
      </c>
    </row>
    <row r="11" spans="1:9" x14ac:dyDescent="0.3">
      <c r="A11" t="str">
        <f t="shared" si="0"/>
        <v>FARM-10</v>
      </c>
      <c r="B11" t="s">
        <v>332</v>
      </c>
      <c r="C11" t="s">
        <v>348</v>
      </c>
      <c r="D11" t="s">
        <v>334</v>
      </c>
      <c r="E11" t="s">
        <v>349</v>
      </c>
      <c r="F11" t="s">
        <v>350</v>
      </c>
      <c r="G11" s="4" t="s">
        <v>313</v>
      </c>
      <c r="I11" t="s">
        <v>314</v>
      </c>
    </row>
    <row r="12" spans="1:9" x14ac:dyDescent="0.3">
      <c r="A12" t="str">
        <f t="shared" si="0"/>
        <v>FARM-11</v>
      </c>
      <c r="B12" t="s">
        <v>351</v>
      </c>
      <c r="C12" t="s">
        <v>352</v>
      </c>
      <c r="D12" t="s">
        <v>353</v>
      </c>
      <c r="E12" t="s">
        <v>352</v>
      </c>
      <c r="F12" t="s">
        <v>354</v>
      </c>
      <c r="G12" s="4" t="s">
        <v>313</v>
      </c>
      <c r="I12" t="s">
        <v>314</v>
      </c>
    </row>
    <row r="13" spans="1:9" x14ac:dyDescent="0.3">
      <c r="A13" t="str">
        <f t="shared" si="0"/>
        <v>FARM-12</v>
      </c>
      <c r="B13" t="s">
        <v>351</v>
      </c>
      <c r="C13" t="s">
        <v>355</v>
      </c>
      <c r="D13" t="s">
        <v>356</v>
      </c>
      <c r="E13" t="s">
        <v>124</v>
      </c>
      <c r="F13" t="s">
        <v>357</v>
      </c>
      <c r="G13" s="4" t="s">
        <v>313</v>
      </c>
      <c r="I13" t="s">
        <v>314</v>
      </c>
    </row>
    <row r="14" spans="1:9" x14ac:dyDescent="0.3">
      <c r="A14" t="str">
        <f t="shared" si="0"/>
        <v>FARM-13</v>
      </c>
      <c r="B14" t="s">
        <v>351</v>
      </c>
      <c r="C14" t="s">
        <v>358</v>
      </c>
      <c r="D14" t="s">
        <v>359</v>
      </c>
      <c r="E14" t="s">
        <v>360</v>
      </c>
      <c r="F14" t="s">
        <v>361</v>
      </c>
      <c r="G14" s="4" t="s">
        <v>313</v>
      </c>
      <c r="I14" t="s">
        <v>314</v>
      </c>
    </row>
    <row r="15" spans="1:9" x14ac:dyDescent="0.3">
      <c r="A15" t="str">
        <f t="shared" si="0"/>
        <v>FARM-14</v>
      </c>
      <c r="B15" t="s">
        <v>351</v>
      </c>
      <c r="C15" t="s">
        <v>362</v>
      </c>
      <c r="D15" t="s">
        <v>363</v>
      </c>
      <c r="E15" t="s">
        <v>364</v>
      </c>
      <c r="F15" t="s">
        <v>365</v>
      </c>
      <c r="G15" s="5" t="s">
        <v>341</v>
      </c>
      <c r="I15" t="s">
        <v>314</v>
      </c>
    </row>
    <row r="16" spans="1:9" x14ac:dyDescent="0.3">
      <c r="A16" t="str">
        <f t="shared" si="0"/>
        <v>FARM-15</v>
      </c>
      <c r="B16" t="s">
        <v>366</v>
      </c>
      <c r="C16" t="s">
        <v>367</v>
      </c>
      <c r="D16" t="s">
        <v>368</v>
      </c>
      <c r="E16" t="s">
        <v>369</v>
      </c>
      <c r="F16" t="s">
        <v>370</v>
      </c>
      <c r="G16" s="4" t="s">
        <v>313</v>
      </c>
      <c r="I16" t="s">
        <v>314</v>
      </c>
    </row>
    <row r="17" spans="1:9" x14ac:dyDescent="0.3">
      <c r="A17" t="str">
        <f t="shared" si="0"/>
        <v>FARM-16</v>
      </c>
      <c r="B17" t="s">
        <v>366</v>
      </c>
      <c r="C17" t="s">
        <v>371</v>
      </c>
      <c r="D17" t="s">
        <v>372</v>
      </c>
      <c r="E17" t="s">
        <v>373</v>
      </c>
      <c r="F17" t="s">
        <v>374</v>
      </c>
      <c r="G17" s="4" t="s">
        <v>313</v>
      </c>
      <c r="I17" t="s">
        <v>314</v>
      </c>
    </row>
    <row r="18" spans="1:9" x14ac:dyDescent="0.3">
      <c r="A18" t="str">
        <f t="shared" si="0"/>
        <v>FARM-17</v>
      </c>
      <c r="B18" t="s">
        <v>375</v>
      </c>
      <c r="C18" t="s">
        <v>376</v>
      </c>
      <c r="D18" t="s">
        <v>377</v>
      </c>
      <c r="E18" t="s">
        <v>373</v>
      </c>
      <c r="F18" t="s">
        <v>378</v>
      </c>
      <c r="G18" s="4" t="s">
        <v>313</v>
      </c>
      <c r="I18" t="s">
        <v>314</v>
      </c>
    </row>
    <row r="19" spans="1:9" x14ac:dyDescent="0.3">
      <c r="A19" t="str">
        <f t="shared" si="0"/>
        <v>FARM-18</v>
      </c>
      <c r="B19" t="s">
        <v>375</v>
      </c>
      <c r="C19" t="s">
        <v>379</v>
      </c>
      <c r="D19" t="s">
        <v>380</v>
      </c>
      <c r="E19" t="s">
        <v>381</v>
      </c>
      <c r="F19" t="s">
        <v>382</v>
      </c>
      <c r="G19" s="4" t="s">
        <v>313</v>
      </c>
      <c r="I19" t="s">
        <v>314</v>
      </c>
    </row>
    <row r="20" spans="1:9" x14ac:dyDescent="0.3">
      <c r="A20" t="str">
        <f t="shared" si="0"/>
        <v>FARM-19</v>
      </c>
      <c r="B20" t="s">
        <v>375</v>
      </c>
      <c r="C20" t="s">
        <v>383</v>
      </c>
      <c r="D20" t="s">
        <v>384</v>
      </c>
      <c r="E20" t="s">
        <v>385</v>
      </c>
      <c r="F20" t="s">
        <v>386</v>
      </c>
      <c r="G20" s="4" t="s">
        <v>313</v>
      </c>
      <c r="I20" t="s">
        <v>314</v>
      </c>
    </row>
    <row r="21" spans="1:9" x14ac:dyDescent="0.3">
      <c r="A21" t="str">
        <f t="shared" si="0"/>
        <v>FARM-20</v>
      </c>
      <c r="B21" t="s">
        <v>375</v>
      </c>
      <c r="C21" t="s">
        <v>387</v>
      </c>
      <c r="D21" t="s">
        <v>388</v>
      </c>
      <c r="E21" t="s">
        <v>389</v>
      </c>
      <c r="F21" t="s">
        <v>390</v>
      </c>
      <c r="G21" s="4" t="s">
        <v>313</v>
      </c>
      <c r="I21" t="s">
        <v>314</v>
      </c>
    </row>
    <row r="22" spans="1:9" x14ac:dyDescent="0.3">
      <c r="A22" t="str">
        <f t="shared" si="0"/>
        <v>FARM-21</v>
      </c>
      <c r="B22" t="s">
        <v>375</v>
      </c>
      <c r="C22" t="s">
        <v>391</v>
      </c>
      <c r="D22" t="s">
        <v>392</v>
      </c>
      <c r="E22" t="s">
        <v>393</v>
      </c>
      <c r="F22" t="s">
        <v>394</v>
      </c>
      <c r="G22" s="4" t="s">
        <v>313</v>
      </c>
      <c r="I22" t="s">
        <v>314</v>
      </c>
    </row>
    <row r="23" spans="1:9" x14ac:dyDescent="0.3">
      <c r="A23" t="str">
        <f t="shared" si="0"/>
        <v>FARM-22</v>
      </c>
      <c r="B23" t="s">
        <v>375</v>
      </c>
      <c r="C23" t="s">
        <v>395</v>
      </c>
      <c r="D23" t="s">
        <v>396</v>
      </c>
      <c r="E23" t="s">
        <v>397</v>
      </c>
      <c r="F23" t="s">
        <v>398</v>
      </c>
      <c r="G23" s="4" t="s">
        <v>313</v>
      </c>
      <c r="I23" t="s">
        <v>314</v>
      </c>
    </row>
    <row r="24" spans="1:9" x14ac:dyDescent="0.3">
      <c r="A24" t="str">
        <f t="shared" si="0"/>
        <v>FARM-23</v>
      </c>
      <c r="B24" t="s">
        <v>375</v>
      </c>
      <c r="C24" t="s">
        <v>399</v>
      </c>
      <c r="D24" t="s">
        <v>400</v>
      </c>
      <c r="E24" t="s">
        <v>401</v>
      </c>
      <c r="F24" t="s">
        <v>365</v>
      </c>
      <c r="G24" s="4" t="s">
        <v>313</v>
      </c>
      <c r="I24" t="s">
        <v>314</v>
      </c>
    </row>
    <row r="25" spans="1:9" x14ac:dyDescent="0.3">
      <c r="A25" t="str">
        <f t="shared" si="0"/>
        <v>FARM-24</v>
      </c>
      <c r="B25" t="s">
        <v>375</v>
      </c>
      <c r="C25" t="s">
        <v>402</v>
      </c>
      <c r="D25" t="s">
        <v>403</v>
      </c>
      <c r="E25" t="s">
        <v>404</v>
      </c>
      <c r="F25" t="s">
        <v>365</v>
      </c>
      <c r="G25" s="4" t="s">
        <v>313</v>
      </c>
      <c r="I25" t="s">
        <v>314</v>
      </c>
    </row>
    <row r="26" spans="1:9" x14ac:dyDescent="0.3">
      <c r="A26" t="str">
        <f t="shared" si="0"/>
        <v>FARM-25</v>
      </c>
      <c r="B26" t="s">
        <v>375</v>
      </c>
      <c r="C26" t="s">
        <v>405</v>
      </c>
      <c r="D26" t="s">
        <v>406</v>
      </c>
      <c r="E26" t="s">
        <v>407</v>
      </c>
      <c r="F26" t="s">
        <v>408</v>
      </c>
      <c r="G26" s="4" t="s">
        <v>313</v>
      </c>
      <c r="I26" t="s">
        <v>314</v>
      </c>
    </row>
    <row r="27" spans="1:9" x14ac:dyDescent="0.3">
      <c r="A27" t="str">
        <f t="shared" si="0"/>
        <v>FARM-26</v>
      </c>
      <c r="B27" t="s">
        <v>375</v>
      </c>
      <c r="C27" t="s">
        <v>409</v>
      </c>
      <c r="D27" t="s">
        <v>410</v>
      </c>
      <c r="E27" t="s">
        <v>411</v>
      </c>
      <c r="F27" t="s">
        <v>408</v>
      </c>
      <c r="G27" s="5" t="s">
        <v>341</v>
      </c>
      <c r="I27" t="s">
        <v>314</v>
      </c>
    </row>
    <row r="28" spans="1:9" x14ac:dyDescent="0.3">
      <c r="A28" t="str">
        <f t="shared" si="0"/>
        <v>FARM-27</v>
      </c>
      <c r="B28" t="s">
        <v>412</v>
      </c>
      <c r="C28" t="s">
        <v>413</v>
      </c>
      <c r="D28" t="s">
        <v>414</v>
      </c>
      <c r="E28" t="s">
        <v>415</v>
      </c>
      <c r="F28" t="s">
        <v>408</v>
      </c>
      <c r="G28" s="4" t="s">
        <v>313</v>
      </c>
      <c r="I28" t="s">
        <v>314</v>
      </c>
    </row>
    <row r="29" spans="1:9" x14ac:dyDescent="0.3">
      <c r="A29" t="str">
        <f t="shared" si="0"/>
        <v>FARM-28</v>
      </c>
      <c r="B29" t="s">
        <v>416</v>
      </c>
      <c r="C29" t="s">
        <v>417</v>
      </c>
      <c r="D29" t="s">
        <v>418</v>
      </c>
      <c r="E29" t="s">
        <v>419</v>
      </c>
      <c r="F29" t="s">
        <v>408</v>
      </c>
      <c r="G29" s="4" t="s">
        <v>313</v>
      </c>
      <c r="I29" t="s">
        <v>314</v>
      </c>
    </row>
    <row r="30" spans="1:9" x14ac:dyDescent="0.3">
      <c r="A30" t="str">
        <f t="shared" si="0"/>
        <v>FARM-29</v>
      </c>
      <c r="B30" t="s">
        <v>420</v>
      </c>
      <c r="C30" t="s">
        <v>421</v>
      </c>
      <c r="D30" t="s">
        <v>422</v>
      </c>
      <c r="E30" t="s">
        <v>423</v>
      </c>
      <c r="F30" t="s">
        <v>408</v>
      </c>
      <c r="G30" s="4" t="s">
        <v>313</v>
      </c>
      <c r="I30" t="s">
        <v>314</v>
      </c>
    </row>
    <row r="31" spans="1:9" x14ac:dyDescent="0.3">
      <c r="A31" t="str">
        <f t="shared" si="0"/>
        <v>FARM-</v>
      </c>
      <c r="B31" t="s">
        <v>424</v>
      </c>
      <c r="C31" t="s">
        <v>425</v>
      </c>
      <c r="D31" t="s">
        <v>426</v>
      </c>
      <c r="E31" t="s">
        <v>427</v>
      </c>
      <c r="F31" t="s">
        <v>408</v>
      </c>
      <c r="G31" s="4" t="s">
        <v>313</v>
      </c>
      <c r="I3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Authentication</vt:lpstr>
      <vt:lpstr>Admin</vt:lpstr>
      <vt:lpstr>Customer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</dc:creator>
  <cp:lastModifiedBy>Malak</cp:lastModifiedBy>
  <dcterms:created xsi:type="dcterms:W3CDTF">2026-09-28T14:37:48Z</dcterms:created>
  <dcterms:modified xsi:type="dcterms:W3CDTF">2026-09-29T03:47:41Z</dcterms:modified>
</cp:coreProperties>
</file>